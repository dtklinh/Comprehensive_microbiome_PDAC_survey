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GAST\AGNeesse\gruppe1\Tabea\"/>
    </mc:Choice>
  </mc:AlternateContent>
  <bookViews>
    <workbookView xWindow="0" yWindow="0" windowWidth="16845" windowHeight="8055" activeTab="1"/>
  </bookViews>
  <sheets>
    <sheet name="Tabelle1" sheetId="1" r:id="rId1"/>
    <sheet name="metadata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3" i="1"/>
  <c r="F3" i="1" l="1"/>
  <c r="I9" i="1"/>
  <c r="J9" i="1"/>
  <c r="M18" i="1" l="1"/>
  <c r="M17" i="1"/>
  <c r="M8" i="1"/>
  <c r="I8" i="1"/>
  <c r="J8" i="1" s="1"/>
  <c r="F8" i="1"/>
  <c r="G8" i="1" s="1"/>
  <c r="M7" i="1"/>
  <c r="I7" i="1"/>
  <c r="J7" i="1" s="1"/>
  <c r="F7" i="1"/>
  <c r="G7" i="1" s="1"/>
  <c r="M6" i="1"/>
  <c r="I6" i="1"/>
  <c r="J6" i="1" s="1"/>
  <c r="F6" i="1"/>
  <c r="G6" i="1" s="1"/>
  <c r="M5" i="1"/>
  <c r="I5" i="1"/>
  <c r="J5" i="1" s="1"/>
  <c r="F5" i="1"/>
  <c r="G5" i="1" s="1"/>
  <c r="M4" i="1"/>
  <c r="I4" i="1"/>
  <c r="J4" i="1" s="1"/>
  <c r="F4" i="1"/>
  <c r="G4" i="1" s="1"/>
  <c r="M3" i="1"/>
  <c r="I3" i="1"/>
  <c r="J3" i="1" s="1"/>
  <c r="G3" i="1"/>
  <c r="M9" i="1" l="1"/>
</calcChain>
</file>

<file path=xl/sharedStrings.xml><?xml version="1.0" encoding="utf-8"?>
<sst xmlns="http://schemas.openxmlformats.org/spreadsheetml/2006/main" count="158" uniqueCount="69">
  <si>
    <t>Name</t>
  </si>
  <si>
    <t>B/R</t>
  </si>
  <si>
    <t>BC</t>
  </si>
  <si>
    <t>Qubit                (ng/µl)</t>
  </si>
  <si>
    <t>10ng PCR</t>
  </si>
  <si>
    <t>nucl.free H2O</t>
  </si>
  <si>
    <t>Qubit   n.PCR (ng/µl)</t>
  </si>
  <si>
    <t>130ng         für EndPrep   (µl)</t>
  </si>
  <si>
    <t>at 11,5µl nucl.free H2O(µl)</t>
  </si>
  <si>
    <t>Qubit n.EndPrep (ng/µl)</t>
  </si>
  <si>
    <t xml:space="preserve">at 7,5µl nucl.free H2O         </t>
  </si>
  <si>
    <t>tatsächliche Konzentration</t>
  </si>
  <si>
    <t>Pool nach BC.Lig.     (ng/µl)</t>
  </si>
  <si>
    <t>Pool n.Ad.Lig. (µl) insg. 12µl</t>
  </si>
  <si>
    <t>Mock Community Test</t>
  </si>
  <si>
    <t>pure</t>
  </si>
  <si>
    <t xml:space="preserve"> 1:32</t>
  </si>
  <si>
    <t xml:space="preserve"> 1:2</t>
  </si>
  <si>
    <t xml:space="preserve"> 1:4</t>
  </si>
  <si>
    <t xml:space="preserve"> 1:8</t>
  </si>
  <si>
    <t xml:space="preserve"> 1:16</t>
  </si>
  <si>
    <t xml:space="preserve"> 1:64</t>
  </si>
  <si>
    <t>ext.med.ctrl_1</t>
  </si>
  <si>
    <t>ext.med.ctrl_2</t>
  </si>
  <si>
    <t>ext.med.ctrl_3</t>
  </si>
  <si>
    <t>too low</t>
  </si>
  <si>
    <t>pcr.ctrl_1</t>
  </si>
  <si>
    <t>pcr.ctrl_2</t>
  </si>
  <si>
    <t>pcr.ctrl_3</t>
  </si>
  <si>
    <t>lib.ctrl_1</t>
  </si>
  <si>
    <t>lib.ctrl_2</t>
  </si>
  <si>
    <t>lib.ctrl_3</t>
  </si>
  <si>
    <t xml:space="preserve">eig 5µL H2O + 5µL DNA </t>
  </si>
  <si>
    <r>
      <rPr>
        <b/>
        <sz val="11"/>
        <color rgb="FFFF0000"/>
        <rFont val="Calibri"/>
        <family val="2"/>
      </rPr>
      <t xml:space="preserve"> 477 ng</t>
    </r>
    <r>
      <rPr>
        <b/>
        <sz val="11"/>
        <rFont val="Calibri"/>
        <family val="2"/>
      </rPr>
      <t xml:space="preserve"> f.FC bei  7 Proben/ 79,5 ng per sample</t>
    </r>
  </si>
  <si>
    <r>
      <rPr>
        <sz val="11"/>
        <color rgb="FF00B050"/>
        <rFont val="Calibri"/>
        <family val="2"/>
      </rPr>
      <t xml:space="preserve"> 8,48 ng/µl</t>
    </r>
    <r>
      <rPr>
        <sz val="11"/>
        <color theme="1"/>
        <rFont val="Calibri"/>
        <family val="2"/>
      </rPr>
      <t xml:space="preserve"> 50fmol( 129,80ng) DNA für Library  (129,8)ng/(8,48) ng/µl =  12 µL Lib</t>
    </r>
  </si>
  <si>
    <t>2026_10_07_Mock_TW_run01</t>
  </si>
  <si>
    <t>barcode</t>
  </si>
  <si>
    <t>pseudonym</t>
  </si>
  <si>
    <t>site</t>
  </si>
  <si>
    <t>true.control</t>
  </si>
  <si>
    <t>run</t>
  </si>
  <si>
    <t>project</t>
  </si>
  <si>
    <t>lp</t>
  </si>
  <si>
    <t>barcode07</t>
  </si>
  <si>
    <t>true</t>
  </si>
  <si>
    <t>run01</t>
  </si>
  <si>
    <t>tw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</si>
  <si>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</si>
  <si>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</si>
  <si>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</si>
  <si>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</si>
  <si>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</si>
  <si>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</si>
  <si>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</si>
  <si>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</si>
  <si>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</si>
  <si>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</si>
  <si>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barcode02</t>
  </si>
  <si>
    <t>barcode03</t>
  </si>
  <si>
    <t>barcode04</t>
  </si>
  <si>
    <t>barcode05</t>
  </si>
  <si>
    <t>barcode06</t>
  </si>
  <si>
    <t>B</t>
  </si>
  <si>
    <t>control</t>
  </si>
  <si>
    <t>run02</t>
  </si>
  <si>
    <t>run03</t>
  </si>
  <si>
    <t>run04</t>
  </si>
  <si>
    <t>run05</t>
  </si>
  <si>
    <t>mock_community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</si>
</sst>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/>
    </xf>
    <xf numFmtId="14" fontId="4" fillId="0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4" xfId="0" quotePrefix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20" fontId="0" fillId="3" borderId="4" xfId="0" applyNumberForma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NumberFormat="1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" fontId="9" fillId="2" borderId="4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2" fontId="4" fillId="2" borderId="0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8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11" fillId="2" borderId="7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20" fontId="0" fillId="0" borderId="4" xfId="0" applyNumberFormat="1" applyFill="1" applyBorder="1" applyAlignment="1">
      <alignment horizontal="center" vertical="center"/>
    </xf>
  </cellXfs>
  <cellStyles count="1">
    <cellStyle name="Standard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1"/>
  <sheetViews>
    <sheetView workbookViewId="0">
      <selection activeCell="A3" sqref="A3:A18"/>
    </sheetView>
  </sheetViews>
  <sheetFormatPr baseColWidth="10" defaultRowHeight="15" x14ac:dyDescent="0.25"/>
  <cols>
    <col min="1" max="1" width="20.7109375" bestFit="1" customWidth="1"/>
  </cols>
  <sheetData>
    <row r="1" spans="1:16" x14ac:dyDescent="0.25">
      <c r="A1" t="s">
        <v>14</v>
      </c>
      <c r="B1" t="s">
        <v>35</v>
      </c>
    </row>
    <row r="2" spans="1:16" ht="75" x14ac:dyDescent="0.25">
      <c r="A2" s="12"/>
      <c r="B2" s="13" t="s">
        <v>0</v>
      </c>
      <c r="C2" s="14" t="s">
        <v>1</v>
      </c>
      <c r="D2" s="1" t="s">
        <v>2</v>
      </c>
      <c r="E2" s="2" t="s">
        <v>3</v>
      </c>
      <c r="F2" s="15" t="s">
        <v>4</v>
      </c>
      <c r="G2" s="2" t="s">
        <v>5</v>
      </c>
      <c r="H2" s="16" t="s">
        <v>6</v>
      </c>
      <c r="I2" s="17" t="s">
        <v>7</v>
      </c>
      <c r="J2" s="17" t="s">
        <v>8</v>
      </c>
      <c r="K2" s="17" t="s">
        <v>9</v>
      </c>
      <c r="L2" s="17" t="s">
        <v>33</v>
      </c>
      <c r="M2" s="17" t="s">
        <v>10</v>
      </c>
      <c r="N2" s="17" t="s">
        <v>11</v>
      </c>
      <c r="O2" s="17" t="s">
        <v>12</v>
      </c>
      <c r="P2" s="17" t="s">
        <v>13</v>
      </c>
    </row>
    <row r="3" spans="1:16" x14ac:dyDescent="0.25">
      <c r="A3" s="3" t="s">
        <v>15</v>
      </c>
      <c r="B3" s="4"/>
      <c r="C3" s="5"/>
      <c r="D3" s="6">
        <v>2</v>
      </c>
      <c r="E3" s="18">
        <v>6.74</v>
      </c>
      <c r="F3" s="19">
        <f t="shared" ref="F3:F8" si="0">10/E3</f>
        <v>1.4836795252225519</v>
      </c>
      <c r="G3" s="19">
        <f t="shared" ref="G3:G8" si="1">10-F3</f>
        <v>8.5163204747774479</v>
      </c>
      <c r="H3" s="20">
        <v>58.2</v>
      </c>
      <c r="I3" s="19">
        <f>130/H3</f>
        <v>2.2336769759450172</v>
      </c>
      <c r="J3" s="19">
        <f>11.5-I3</f>
        <v>9.2663230240549836</v>
      </c>
      <c r="K3" s="6">
        <v>9.36</v>
      </c>
      <c r="L3" s="19">
        <f>79.5/K3</f>
        <v>8.4935897435897445</v>
      </c>
      <c r="M3" s="19">
        <f>7.5-L3</f>
        <v>-0.9935897435897445</v>
      </c>
      <c r="N3" s="19"/>
      <c r="O3" s="36">
        <v>11.9</v>
      </c>
      <c r="P3" s="38" t="s">
        <v>34</v>
      </c>
    </row>
    <row r="4" spans="1:16" x14ac:dyDescent="0.25">
      <c r="A4" s="11" t="s">
        <v>17</v>
      </c>
      <c r="B4" s="4"/>
      <c r="C4" s="5"/>
      <c r="D4" s="6">
        <v>3</v>
      </c>
      <c r="E4" s="21">
        <v>3.76</v>
      </c>
      <c r="F4" s="19">
        <f t="shared" si="0"/>
        <v>2.6595744680851063</v>
      </c>
      <c r="G4" s="19">
        <f t="shared" si="1"/>
        <v>7.3404255319148941</v>
      </c>
      <c r="H4" s="20">
        <v>54.8</v>
      </c>
      <c r="I4" s="19">
        <f t="shared" ref="I4:I9" si="2">130/H4</f>
        <v>2.3722627737226278</v>
      </c>
      <c r="J4" s="19">
        <f t="shared" ref="J4:J9" si="3">11.5-I4</f>
        <v>9.1277372262773717</v>
      </c>
      <c r="K4" s="6">
        <v>10.7</v>
      </c>
      <c r="L4" s="19">
        <f t="shared" ref="L4:L9" si="4">79.5/K4</f>
        <v>7.4299065420560755</v>
      </c>
      <c r="M4" s="19">
        <f t="shared" ref="M4:M18" si="5">7.5-L4</f>
        <v>7.009345794392452E-2</v>
      </c>
      <c r="N4" s="19"/>
      <c r="O4" s="36"/>
      <c r="P4" s="38"/>
    </row>
    <row r="5" spans="1:16" x14ac:dyDescent="0.25">
      <c r="A5" s="11" t="s">
        <v>18</v>
      </c>
      <c r="B5" s="4"/>
      <c r="C5" s="5"/>
      <c r="D5" s="6">
        <v>4</v>
      </c>
      <c r="E5" s="21">
        <v>1.33</v>
      </c>
      <c r="F5" s="19">
        <f t="shared" si="0"/>
        <v>7.518796992481203</v>
      </c>
      <c r="G5" s="19">
        <f t="shared" si="1"/>
        <v>2.481203007518797</v>
      </c>
      <c r="H5" s="20">
        <v>57.4</v>
      </c>
      <c r="I5" s="19">
        <f t="shared" si="2"/>
        <v>2.264808362369338</v>
      </c>
      <c r="J5" s="19">
        <f t="shared" si="3"/>
        <v>9.2351916376306615</v>
      </c>
      <c r="K5" s="6">
        <v>12.2</v>
      </c>
      <c r="L5" s="19">
        <f t="shared" si="4"/>
        <v>6.5163934426229515</v>
      </c>
      <c r="M5" s="19">
        <f t="shared" si="5"/>
        <v>0.9836065573770485</v>
      </c>
      <c r="N5" s="19"/>
      <c r="O5" s="36"/>
      <c r="P5" s="38"/>
    </row>
    <row r="6" spans="1:16" x14ac:dyDescent="0.25">
      <c r="A6" s="11" t="s">
        <v>19</v>
      </c>
      <c r="B6" s="4"/>
      <c r="C6" s="5"/>
      <c r="D6" s="6">
        <v>5</v>
      </c>
      <c r="E6" s="21">
        <v>0.51600000000000001</v>
      </c>
      <c r="F6" s="19">
        <f t="shared" si="0"/>
        <v>19.379844961240309</v>
      </c>
      <c r="G6" s="19">
        <f t="shared" si="1"/>
        <v>-9.379844961240309</v>
      </c>
      <c r="H6" s="20">
        <v>54.6</v>
      </c>
      <c r="I6" s="19">
        <f t="shared" si="2"/>
        <v>2.3809523809523809</v>
      </c>
      <c r="J6" s="19">
        <f t="shared" si="3"/>
        <v>9.1190476190476186</v>
      </c>
      <c r="K6" s="22">
        <v>10.6</v>
      </c>
      <c r="L6" s="19">
        <f t="shared" si="4"/>
        <v>7.5</v>
      </c>
      <c r="M6" s="19">
        <f t="shared" si="5"/>
        <v>0</v>
      </c>
      <c r="N6" s="19"/>
      <c r="O6" s="36"/>
      <c r="P6" s="38"/>
    </row>
    <row r="7" spans="1:16" x14ac:dyDescent="0.25">
      <c r="A7" s="11" t="s">
        <v>20</v>
      </c>
      <c r="B7" s="4"/>
      <c r="C7" s="7"/>
      <c r="D7" s="6">
        <v>6</v>
      </c>
      <c r="E7" s="23">
        <v>0.28000000000000003</v>
      </c>
      <c r="F7" s="24">
        <f t="shared" si="0"/>
        <v>35.714285714285708</v>
      </c>
      <c r="G7" s="24">
        <f t="shared" si="1"/>
        <v>-25.714285714285708</v>
      </c>
      <c r="H7" s="25">
        <v>51.8</v>
      </c>
      <c r="I7" s="19">
        <f t="shared" si="2"/>
        <v>2.50965250965251</v>
      </c>
      <c r="J7" s="19">
        <f t="shared" si="3"/>
        <v>8.9903474903474905</v>
      </c>
      <c r="K7" s="26">
        <v>11.3</v>
      </c>
      <c r="L7" s="19">
        <f t="shared" si="4"/>
        <v>7.0353982300884947</v>
      </c>
      <c r="M7" s="19">
        <f t="shared" si="5"/>
        <v>0.46460176991150526</v>
      </c>
      <c r="N7" s="19"/>
      <c r="O7" s="36"/>
      <c r="P7" s="38"/>
    </row>
    <row r="8" spans="1:16" x14ac:dyDescent="0.25">
      <c r="A8" s="3" t="s">
        <v>16</v>
      </c>
      <c r="B8" s="4"/>
      <c r="C8" s="5"/>
      <c r="D8" s="6">
        <v>7</v>
      </c>
      <c r="E8" s="21">
        <v>0.126</v>
      </c>
      <c r="F8" s="19">
        <f t="shared" si="0"/>
        <v>79.365079365079367</v>
      </c>
      <c r="G8" s="19">
        <f t="shared" si="1"/>
        <v>-69.365079365079367</v>
      </c>
      <c r="H8" s="20">
        <v>28.6</v>
      </c>
      <c r="I8" s="19">
        <f t="shared" si="2"/>
        <v>4.545454545454545</v>
      </c>
      <c r="J8" s="19">
        <f t="shared" si="3"/>
        <v>6.954545454545455</v>
      </c>
      <c r="K8" s="6">
        <v>10.9</v>
      </c>
      <c r="L8" s="19">
        <f t="shared" si="4"/>
        <v>7.2935779816513762</v>
      </c>
      <c r="M8" s="19">
        <f t="shared" si="5"/>
        <v>0.20642201834862384</v>
      </c>
      <c r="N8" s="19"/>
      <c r="O8" s="36"/>
      <c r="P8" s="38"/>
    </row>
    <row r="9" spans="1:16" x14ac:dyDescent="0.25">
      <c r="A9" s="3" t="s">
        <v>21</v>
      </c>
      <c r="B9" s="4"/>
      <c r="C9" s="5"/>
      <c r="D9" s="6">
        <v>8</v>
      </c>
      <c r="E9" s="21" t="s">
        <v>25</v>
      </c>
      <c r="F9" s="19"/>
      <c r="G9" s="19"/>
      <c r="H9" s="20">
        <v>11.6</v>
      </c>
      <c r="I9" s="19">
        <f t="shared" si="2"/>
        <v>11.206896551724139</v>
      </c>
      <c r="J9" s="19">
        <f t="shared" si="3"/>
        <v>0.29310344827586121</v>
      </c>
      <c r="K9" s="6">
        <v>9.34</v>
      </c>
      <c r="L9" s="19">
        <f t="shared" si="4"/>
        <v>8.5117773019271947</v>
      </c>
      <c r="M9" s="19">
        <f t="shared" si="5"/>
        <v>-1.0117773019271947</v>
      </c>
      <c r="N9" s="19"/>
      <c r="O9" s="36"/>
      <c r="P9" s="38"/>
    </row>
    <row r="10" spans="1:16" x14ac:dyDescent="0.25">
      <c r="A10" s="3" t="s">
        <v>22</v>
      </c>
      <c r="B10" s="4"/>
      <c r="C10" s="5"/>
      <c r="D10" s="6">
        <v>9</v>
      </c>
      <c r="E10" s="21" t="s">
        <v>25</v>
      </c>
      <c r="F10" s="27">
        <v>10</v>
      </c>
      <c r="G10" s="19"/>
      <c r="H10" s="20">
        <v>0.44</v>
      </c>
      <c r="I10" s="24">
        <v>5.75</v>
      </c>
      <c r="J10" s="24">
        <v>5.75</v>
      </c>
      <c r="K10" s="6">
        <v>0.26200000000000001</v>
      </c>
      <c r="L10" s="19">
        <v>3.75</v>
      </c>
      <c r="M10" s="19">
        <v>3.75</v>
      </c>
      <c r="N10" s="19"/>
      <c r="O10" s="36"/>
      <c r="P10" s="38"/>
    </row>
    <row r="11" spans="1:16" x14ac:dyDescent="0.25">
      <c r="A11" s="3" t="s">
        <v>23</v>
      </c>
      <c r="B11" s="4"/>
      <c r="C11" s="5"/>
      <c r="D11" s="6">
        <v>10</v>
      </c>
      <c r="E11" s="21" t="s">
        <v>25</v>
      </c>
      <c r="F11" s="27">
        <v>10</v>
      </c>
      <c r="G11" s="19"/>
      <c r="H11" s="28">
        <v>0.44600000000000001</v>
      </c>
      <c r="I11" s="24">
        <v>5.75</v>
      </c>
      <c r="J11" s="24">
        <v>5.75</v>
      </c>
      <c r="K11" s="28">
        <v>0.28599999999999998</v>
      </c>
      <c r="L11" s="19">
        <v>3.75</v>
      </c>
      <c r="M11" s="19">
        <v>3.75</v>
      </c>
      <c r="N11" s="19"/>
      <c r="O11" s="36"/>
      <c r="P11" s="38"/>
    </row>
    <row r="12" spans="1:16" x14ac:dyDescent="0.25">
      <c r="A12" s="3" t="s">
        <v>24</v>
      </c>
      <c r="B12" s="4"/>
      <c r="C12" s="5"/>
      <c r="D12" s="6">
        <v>11</v>
      </c>
      <c r="E12" s="21" t="s">
        <v>25</v>
      </c>
      <c r="F12" s="27">
        <v>10</v>
      </c>
      <c r="G12" s="19"/>
      <c r="H12" s="29">
        <v>0.42399999999999999</v>
      </c>
      <c r="I12" s="24">
        <v>5.75</v>
      </c>
      <c r="J12" s="24">
        <v>5.75</v>
      </c>
      <c r="K12" s="29">
        <v>0.29199999999999998</v>
      </c>
      <c r="L12" s="19">
        <v>3.75</v>
      </c>
      <c r="M12" s="19">
        <v>3.75</v>
      </c>
      <c r="N12" s="19"/>
      <c r="O12" s="36"/>
      <c r="P12" s="38"/>
    </row>
    <row r="13" spans="1:16" x14ac:dyDescent="0.25">
      <c r="A13" s="3" t="s">
        <v>26</v>
      </c>
      <c r="B13" s="4"/>
      <c r="C13" s="5"/>
      <c r="D13" s="6">
        <v>12</v>
      </c>
      <c r="E13" s="21"/>
      <c r="F13" s="19"/>
      <c r="G13" s="30">
        <v>10</v>
      </c>
      <c r="H13" s="29">
        <v>0.41799999999999998</v>
      </c>
      <c r="I13" s="24">
        <v>5.75</v>
      </c>
      <c r="J13" s="24">
        <v>5.75</v>
      </c>
      <c r="K13" s="29">
        <v>0.30399999999999999</v>
      </c>
      <c r="L13" s="19">
        <v>3.75</v>
      </c>
      <c r="M13" s="19">
        <v>3.75</v>
      </c>
      <c r="N13" s="19"/>
      <c r="O13" s="36"/>
      <c r="P13" s="38"/>
    </row>
    <row r="14" spans="1:16" x14ac:dyDescent="0.25">
      <c r="A14" s="3" t="s">
        <v>27</v>
      </c>
      <c r="B14" s="8"/>
      <c r="C14" s="5"/>
      <c r="D14" s="6">
        <v>13</v>
      </c>
      <c r="E14" s="21"/>
      <c r="F14" s="19"/>
      <c r="G14" s="30">
        <v>10</v>
      </c>
      <c r="H14" s="29">
        <v>0.438</v>
      </c>
      <c r="I14" s="24">
        <v>5.75</v>
      </c>
      <c r="J14" s="24">
        <v>5.75</v>
      </c>
      <c r="K14" s="29">
        <v>0.26800000000000002</v>
      </c>
      <c r="L14" s="19">
        <v>3.75</v>
      </c>
      <c r="M14" s="19">
        <v>3.75</v>
      </c>
      <c r="N14" s="19"/>
      <c r="O14" s="36"/>
      <c r="P14" s="38"/>
    </row>
    <row r="15" spans="1:16" x14ac:dyDescent="0.25">
      <c r="A15" s="3" t="s">
        <v>28</v>
      </c>
      <c r="B15" s="4"/>
      <c r="C15" s="5"/>
      <c r="D15" s="6">
        <v>14</v>
      </c>
      <c r="E15" s="21"/>
      <c r="F15" s="19"/>
      <c r="G15" s="30">
        <v>10</v>
      </c>
      <c r="H15" s="29">
        <v>0.40400000000000003</v>
      </c>
      <c r="I15" s="24">
        <v>5.75</v>
      </c>
      <c r="J15" s="24">
        <v>5.75</v>
      </c>
      <c r="K15" s="29">
        <v>0.28799999999999998</v>
      </c>
      <c r="L15" s="19">
        <v>3.75</v>
      </c>
      <c r="M15" s="19">
        <v>3.75</v>
      </c>
      <c r="N15" s="19"/>
      <c r="O15" s="36"/>
      <c r="P15" s="38"/>
    </row>
    <row r="16" spans="1:16" x14ac:dyDescent="0.25">
      <c r="A16" s="3" t="s">
        <v>29</v>
      </c>
      <c r="B16" s="4"/>
      <c r="C16" s="5"/>
      <c r="D16" s="6">
        <v>15</v>
      </c>
      <c r="E16" s="21"/>
      <c r="F16" s="19"/>
      <c r="G16" s="19"/>
      <c r="H16" s="29"/>
      <c r="I16" s="19"/>
      <c r="J16" s="34">
        <v>11.5</v>
      </c>
      <c r="K16" s="29">
        <v>0.28799999999999998</v>
      </c>
      <c r="L16" s="19">
        <v>3.75</v>
      </c>
      <c r="M16" s="19">
        <v>3.75</v>
      </c>
      <c r="N16" s="19"/>
      <c r="O16" s="36"/>
      <c r="P16" s="38"/>
    </row>
    <row r="17" spans="1:16" x14ac:dyDescent="0.25">
      <c r="A17" s="3" t="s">
        <v>30</v>
      </c>
      <c r="B17" s="4"/>
      <c r="C17" s="9"/>
      <c r="D17" s="6">
        <v>16</v>
      </c>
      <c r="E17" s="21"/>
      <c r="F17" s="19"/>
      <c r="G17" s="19"/>
      <c r="H17" s="29"/>
      <c r="I17" s="19"/>
      <c r="J17" s="34">
        <v>11.5</v>
      </c>
      <c r="K17" s="29">
        <v>0.25800000000000001</v>
      </c>
      <c r="L17" s="19">
        <v>3.75</v>
      </c>
      <c r="M17" s="19">
        <f t="shared" si="5"/>
        <v>3.75</v>
      </c>
      <c r="N17" s="28"/>
      <c r="O17" s="36"/>
      <c r="P17" s="38"/>
    </row>
    <row r="18" spans="1:16" x14ac:dyDescent="0.25">
      <c r="A18" s="3" t="s">
        <v>31</v>
      </c>
      <c r="B18" s="10"/>
      <c r="C18" s="9"/>
      <c r="D18" s="6">
        <v>17</v>
      </c>
      <c r="E18" s="21"/>
      <c r="F18" s="28"/>
      <c r="G18" s="28"/>
      <c r="H18" s="28"/>
      <c r="I18" s="19"/>
      <c r="J18" s="34">
        <v>11.5</v>
      </c>
      <c r="K18" s="28">
        <v>0.27400000000000002</v>
      </c>
      <c r="L18" s="19">
        <v>3.75</v>
      </c>
      <c r="M18" s="19">
        <f t="shared" si="5"/>
        <v>3.75</v>
      </c>
      <c r="N18" s="28"/>
      <c r="O18" s="36"/>
      <c r="P18" s="38"/>
    </row>
    <row r="19" spans="1:16" x14ac:dyDescent="0.25">
      <c r="A19" s="31"/>
      <c r="B19" s="31"/>
      <c r="C19" s="31"/>
      <c r="D19" s="31"/>
      <c r="E19" s="31"/>
      <c r="F19" s="31"/>
      <c r="G19" s="31"/>
      <c r="H19" s="32"/>
      <c r="I19" s="33"/>
      <c r="J19" s="33"/>
      <c r="K19" s="32"/>
      <c r="L19" s="32"/>
      <c r="M19" s="32"/>
      <c r="N19" s="32"/>
      <c r="O19" s="37"/>
      <c r="P19" s="38"/>
    </row>
    <row r="20" spans="1:16" x14ac:dyDescent="0.25">
      <c r="A20" s="31"/>
      <c r="B20" s="31"/>
      <c r="C20" s="31"/>
      <c r="D20" s="31"/>
      <c r="E20" s="31"/>
      <c r="F20" s="31"/>
      <c r="G20" s="31"/>
      <c r="H20" s="32"/>
      <c r="I20" s="33"/>
      <c r="J20" s="33"/>
      <c r="K20" s="32"/>
      <c r="L20" s="32"/>
      <c r="M20" s="32"/>
      <c r="N20" s="32"/>
      <c r="O20" s="37"/>
      <c r="P20" s="38"/>
    </row>
    <row r="21" spans="1:16" x14ac:dyDescent="0.25">
      <c r="F21" s="35" t="s">
        <v>32</v>
      </c>
    </row>
  </sheetData>
  <mergeCells count="2">
    <mergeCell ref="O3:O20"/>
    <mergeCell ref="P3:P20"/>
  </mergeCells>
  <pageMargins left="0.7" right="0.7" top="0.78740157499999996" bottom="0.78740157499999996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K16" sqref="K16"/>
    </sheetView>
  </sheetViews>
  <sheetFormatPr baseColWidth="10" defaultRowHeight="15" x14ac:dyDescent="0.25"/>
  <cols>
    <col min="2" max="2" width="13.85546875" bestFit="1" customWidth="1"/>
    <col min="6" max="6" width="16.85546875" bestFit="1" customWidth="1"/>
  </cols>
  <sheetData>
    <row r="1" spans="1:7" x14ac:dyDescent="0.25">
      <c r="A1" s="39" t="s">
        <v>36</v>
      </c>
      <c r="B1" s="40" t="s">
        <v>37</v>
      </c>
      <c r="C1" s="41" t="s">
        <v>38</v>
      </c>
      <c r="D1" s="39" t="s">
        <v>39</v>
      </c>
      <c r="E1" s="42" t="s">
        <v>40</v>
      </c>
      <c r="F1" s="39" t="s">
        <v>41</v>
      </c>
      <c r="G1" s="43" t="s">
        <v>42</v>
      </c>
    </row>
    <row r="2" spans="1:7" x14ac:dyDescent="0.25">
      <c r="A2" s="44" t="s">
        <v>57</v>
      </c>
      <c r="B2" s="48" t="s">
        <v>15</v>
      </c>
      <c r="C2" s="45" t="s">
        <v>62</v>
      </c>
      <c r="D2" s="45" t="s">
        <v>44</v>
      </c>
      <c r="E2" s="46" t="s">
        <v>45</v>
      </c>
      <c r="F2" s="45" t="s">
        <v>68</v>
      </c>
      <c r="G2" s="47" t="s">
        <v>46</v>
      </c>
    </row>
    <row r="3" spans="1:7" x14ac:dyDescent="0.25">
      <c r="A3" s="44" t="s">
        <v>58</v>
      </c>
      <c r="B3" s="49" t="s">
        <v>17</v>
      </c>
      <c r="C3" s="45" t="s">
        <v>62</v>
      </c>
      <c r="D3" s="45" t="s">
        <v>44</v>
      </c>
      <c r="E3" s="46" t="s">
        <v>45</v>
      </c>
      <c r="F3" s="45" t="s">
        <v>68</v>
      </c>
      <c r="G3" s="47" t="s">
        <v>46</v>
      </c>
    </row>
    <row r="4" spans="1:7" x14ac:dyDescent="0.25">
      <c r="A4" s="44" t="s">
        <v>59</v>
      </c>
      <c r="B4" s="49" t="s">
        <v>18</v>
      </c>
      <c r="C4" s="45" t="s">
        <v>62</v>
      </c>
      <c r="D4" s="45" t="s">
        <v>44</v>
      </c>
      <c r="E4" s="46" t="s">
        <v>45</v>
      </c>
      <c r="F4" s="45" t="s">
        <v>68</v>
      </c>
      <c r="G4" s="47" t="s">
        <v>46</v>
      </c>
    </row>
    <row r="5" spans="1:7" x14ac:dyDescent="0.25">
      <c r="A5" s="44" t="s">
        <v>60</v>
      </c>
      <c r="B5" s="49" t="s">
        <v>19</v>
      </c>
      <c r="C5" s="45" t="s">
        <v>62</v>
      </c>
      <c r="D5" s="45" t="s">
        <v>44</v>
      </c>
      <c r="E5" s="46" t="s">
        <v>45</v>
      </c>
      <c r="F5" s="45" t="s">
        <v>68</v>
      </c>
      <c r="G5" s="47" t="s">
        <v>46</v>
      </c>
    </row>
    <row r="6" spans="1:7" x14ac:dyDescent="0.25">
      <c r="A6" s="44" t="s">
        <v>61</v>
      </c>
      <c r="B6" s="49" t="s">
        <v>20</v>
      </c>
      <c r="C6" s="45" t="s">
        <v>62</v>
      </c>
      <c r="D6" s="45" t="s">
        <v>44</v>
      </c>
      <c r="E6" s="46" t="s">
        <v>45</v>
      </c>
      <c r="F6" s="45" t="s">
        <v>68</v>
      </c>
      <c r="G6" s="47" t="s">
        <v>46</v>
      </c>
    </row>
    <row r="7" spans="1:7" x14ac:dyDescent="0.25">
      <c r="A7" s="44" t="s">
        <v>43</v>
      </c>
      <c r="B7" s="48" t="s">
        <v>16</v>
      </c>
      <c r="C7" s="45" t="s">
        <v>62</v>
      </c>
      <c r="D7" s="45" t="s">
        <v>44</v>
      </c>
      <c r="E7" s="46" t="s">
        <v>45</v>
      </c>
      <c r="F7" s="45" t="s">
        <v>68</v>
      </c>
      <c r="G7" s="47" t="s">
        <v>46</v>
      </c>
    </row>
    <row r="8" spans="1:7" x14ac:dyDescent="0.25">
      <c r="A8" s="44" t="s">
        <v>47</v>
      </c>
      <c r="B8" s="48" t="s">
        <v>21</v>
      </c>
      <c r="C8" s="45" t="s">
        <v>62</v>
      </c>
      <c r="D8" s="45" t="s">
        <v>44</v>
      </c>
      <c r="E8" s="46" t="s">
        <v>45</v>
      </c>
      <c r="F8" s="45" t="s">
        <v>68</v>
      </c>
      <c r="G8" s="47" t="s">
        <v>46</v>
      </c>
    </row>
    <row r="9" spans="1:7" x14ac:dyDescent="0.25">
      <c r="A9" s="44" t="s">
        <v>48</v>
      </c>
      <c r="B9" s="48" t="s">
        <v>22</v>
      </c>
      <c r="C9" s="45" t="s">
        <v>62</v>
      </c>
      <c r="D9" s="45" t="s">
        <v>63</v>
      </c>
      <c r="E9" s="46" t="s">
        <v>45</v>
      </c>
      <c r="F9" s="45" t="s">
        <v>68</v>
      </c>
      <c r="G9" s="47" t="s">
        <v>46</v>
      </c>
    </row>
    <row r="10" spans="1:7" x14ac:dyDescent="0.25">
      <c r="A10" s="44" t="s">
        <v>49</v>
      </c>
      <c r="B10" s="48" t="s">
        <v>23</v>
      </c>
      <c r="C10" s="45" t="s">
        <v>62</v>
      </c>
      <c r="D10" s="45" t="s">
        <v>63</v>
      </c>
      <c r="E10" s="46" t="s">
        <v>45</v>
      </c>
      <c r="F10" s="45" t="s">
        <v>68</v>
      </c>
      <c r="G10" s="47" t="s">
        <v>46</v>
      </c>
    </row>
    <row r="11" spans="1:7" x14ac:dyDescent="0.25">
      <c r="A11" s="44" t="s">
        <v>50</v>
      </c>
      <c r="B11" s="48" t="s">
        <v>24</v>
      </c>
      <c r="C11" s="45" t="s">
        <v>62</v>
      </c>
      <c r="D11" s="45" t="s">
        <v>63</v>
      </c>
      <c r="E11" s="46" t="s">
        <v>45</v>
      </c>
      <c r="F11" s="45" t="s">
        <v>68</v>
      </c>
      <c r="G11" s="47" t="s">
        <v>46</v>
      </c>
    </row>
    <row r="12" spans="1:7" x14ac:dyDescent="0.25">
      <c r="A12" s="44" t="s">
        <v>51</v>
      </c>
      <c r="B12" s="48" t="s">
        <v>26</v>
      </c>
      <c r="C12" s="45" t="s">
        <v>62</v>
      </c>
      <c r="D12" s="45" t="s">
        <v>63</v>
      </c>
      <c r="E12" s="46" t="s">
        <v>45</v>
      </c>
      <c r="F12" s="45" t="s">
        <v>68</v>
      </c>
      <c r="G12" s="47" t="s">
        <v>46</v>
      </c>
    </row>
    <row r="13" spans="1:7" x14ac:dyDescent="0.25">
      <c r="A13" s="44" t="s">
        <v>52</v>
      </c>
      <c r="B13" s="48" t="s">
        <v>27</v>
      </c>
      <c r="C13" s="45" t="s">
        <v>62</v>
      </c>
      <c r="D13" s="45" t="s">
        <v>63</v>
      </c>
      <c r="E13" s="46" t="s">
        <v>45</v>
      </c>
      <c r="F13" s="45" t="s">
        <v>68</v>
      </c>
      <c r="G13" s="47" t="s">
        <v>46</v>
      </c>
    </row>
    <row r="14" spans="1:7" x14ac:dyDescent="0.25">
      <c r="A14" s="44" t="s">
        <v>53</v>
      </c>
      <c r="B14" s="48" t="s">
        <v>28</v>
      </c>
      <c r="C14" s="45" t="s">
        <v>62</v>
      </c>
      <c r="D14" s="45" t="s">
        <v>63</v>
      </c>
      <c r="E14" s="46" t="s">
        <v>64</v>
      </c>
      <c r="F14" s="45" t="s">
        <v>68</v>
      </c>
      <c r="G14" s="47" t="s">
        <v>46</v>
      </c>
    </row>
    <row r="15" spans="1:7" x14ac:dyDescent="0.25">
      <c r="A15" s="44" t="s">
        <v>54</v>
      </c>
      <c r="B15" s="48" t="s">
        <v>29</v>
      </c>
      <c r="C15" s="45" t="s">
        <v>62</v>
      </c>
      <c r="D15" s="45" t="s">
        <v>63</v>
      </c>
      <c r="E15" s="46" t="s">
        <v>65</v>
      </c>
      <c r="F15" s="45" t="s">
        <v>68</v>
      </c>
      <c r="G15" s="47" t="s">
        <v>46</v>
      </c>
    </row>
    <row r="16" spans="1:7" x14ac:dyDescent="0.25">
      <c r="A16" s="44" t="s">
        <v>55</v>
      </c>
      <c r="B16" s="48" t="s">
        <v>30</v>
      </c>
      <c r="C16" s="45" t="s">
        <v>62</v>
      </c>
      <c r="D16" s="45" t="s">
        <v>63</v>
      </c>
      <c r="E16" s="46" t="s">
        <v>66</v>
      </c>
      <c r="F16" s="45" t="s">
        <v>68</v>
      </c>
      <c r="G16" s="47" t="s">
        <v>46</v>
      </c>
    </row>
    <row r="17" spans="1:7" x14ac:dyDescent="0.25">
      <c r="A17" s="44" t="s">
        <v>56</v>
      </c>
      <c r="B17" s="48" t="s">
        <v>31</v>
      </c>
      <c r="C17" s="45" t="s">
        <v>62</v>
      </c>
      <c r="D17" s="45" t="s">
        <v>63</v>
      </c>
      <c r="E17" s="46" t="s">
        <v>67</v>
      </c>
      <c r="F17" s="45" t="s">
        <v>68</v>
      </c>
      <c r="G17" s="47" t="s">
        <v>46</v>
      </c>
    </row>
  </sheetData>
  <conditionalFormatting sqref="B4">
    <cfRule type="duplicateValues" dxfId="15" priority="16"/>
  </conditionalFormatting>
  <conditionalFormatting sqref="B5:B6">
    <cfRule type="duplicateValues" dxfId="14" priority="14"/>
  </conditionalFormatting>
  <conditionalFormatting sqref="B5">
    <cfRule type="duplicateValues" dxfId="13" priority="15"/>
  </conditionalFormatting>
  <conditionalFormatting sqref="B5:B6">
    <cfRule type="duplicateValues" dxfId="12" priority="13"/>
  </conditionalFormatting>
  <conditionalFormatting sqref="B4">
    <cfRule type="duplicateValues" dxfId="11" priority="12"/>
  </conditionalFormatting>
  <conditionalFormatting sqref="B5">
    <cfRule type="duplicateValues" dxfId="10" priority="10"/>
  </conditionalFormatting>
  <conditionalFormatting sqref="B5">
    <cfRule type="duplicateValues" dxfId="9" priority="11"/>
  </conditionalFormatting>
  <conditionalFormatting sqref="B5">
    <cfRule type="duplicateValues" dxfId="8" priority="9"/>
  </conditionalFormatting>
  <conditionalFormatting sqref="B6">
    <cfRule type="duplicateValues" dxfId="7" priority="8"/>
  </conditionalFormatting>
  <conditionalFormatting sqref="B7:B8">
    <cfRule type="duplicateValues" dxfId="6" priority="6"/>
  </conditionalFormatting>
  <conditionalFormatting sqref="B7">
    <cfRule type="duplicateValues" dxfId="5" priority="7"/>
  </conditionalFormatting>
  <conditionalFormatting sqref="B7:B8">
    <cfRule type="duplicateValues" dxfId="4" priority="5"/>
  </conditionalFormatting>
  <conditionalFormatting sqref="B2:B3">
    <cfRule type="duplicateValues" dxfId="3" priority="3"/>
  </conditionalFormatting>
  <conditionalFormatting sqref="B2:B3">
    <cfRule type="duplicateValues" dxfId="2" priority="4"/>
  </conditionalFormatting>
  <conditionalFormatting sqref="B2:B3">
    <cfRule type="duplicateValues" dxfId="1" priority="2"/>
  </conditionalFormatting>
  <conditionalFormatting sqref="B9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metadata</vt:lpstr>
    </vt:vector>
  </TitlesOfParts>
  <Company>Universitätsmedizin Göttingen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Wollborn, Tabea</dc:creator>
  <cp:lastModifiedBy>Wollborn, Tabea</cp:lastModifiedBy>
  <cp:lastPrinted>2026-10-07T12:13:09Z</cp:lastPrinted>
  <dcterms:created xsi:type="dcterms:W3CDTF">2026-10-05T08:44:55Z</dcterms:created>
  <dcterms:modified xsi:type="dcterms:W3CDTF">2026-10-13T05:11:11Z</dcterms:modified>
</cp:coreProperties>
</file>