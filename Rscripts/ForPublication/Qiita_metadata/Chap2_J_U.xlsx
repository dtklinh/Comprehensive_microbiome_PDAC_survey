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<sst xmlns="http://schemas.openxmlformats.org/spreadsheetml/2006/main" count="53" uniqueCount="25">
  <si>
    <t>ID</t>
  </si>
  <si>
    <t>Run</t>
  </si>
  <si>
    <t>Barcode</t>
  </si>
  <si>
    <t>LP</t>
  </si>
  <si>
    <t>Environment</t>
  </si>
  <si>
    <t>2024_06_04_NTC_ster_unster_J_run1_fastq_barcode17.fastq.gz</t>
  </si>
  <si>
    <t>LP1</t>
  </si>
  <si>
    <t>Low-germ</t>
  </si>
  <si>
    <t>2024_06_04_NTC_ster_unster_J_run1_fastq_barcode18.fastq.gz</t>
  </si>
  <si>
    <t>2024_06_04_NTC_ster_unster_J_run1_fastq_barcode19.fastq.gz</t>
  </si>
  <si>
    <t>2024_06_04_NTC_ster_unster_J_run1_fastq_barcode20.fastq.gz</t>
  </si>
  <si>
    <t>2024_06_04_NTC_ster_unster_J_run1_fastq_barcode21.fastq.gz</t>
  </si>
  <si>
    <t>Standard</t>
  </si>
  <si>
    <t>2024_06_04_NTC_ster_unster_J_run1_fastq_barcode22.fastq.gz</t>
  </si>
  <si>
    <t>2024_06_04_NTC_ster_unster_J_run1_fastq_barcode23.fastq.gz</t>
  </si>
  <si>
    <t>2024_06_04_NTC_ster_unster_J_run1_fastq_barcode24.fastq.gz</t>
  </si>
  <si>
    <t>2024_06_06_NTC_ster_unster_U_run2_fastq_barcode10.fastq.gz</t>
  </si>
  <si>
    <t>LP2</t>
  </si>
  <si>
    <t>2024_06_06_NTC_ster_unster_U_run2_fastq_barcode11.fastq.gz</t>
  </si>
  <si>
    <t>2024_06_06_NTC_ster_unster_U_run2_fastq_barcode12.fastq.gz</t>
  </si>
  <si>
    <t>2024_06_06_NTC_ster_unster_U_run2_fastq_barcode13.fastq.gz</t>
  </si>
  <si>
    <t>2024_06_06_NTC_ster_unster_U_run2_fastq_barcode14.fastq.gz</t>
  </si>
  <si>
    <t>2024_06_06_NTC_ster_unster_U_run2_fastq_barcode15.fastq.gz</t>
  </si>
  <si>
    <t>2024_06_06_NTC_ster_unster_U_run2_fastq_barcode16.fastq.gz</t>
  </si>
  <si>
    <t>2024_06_06_NTC_ster_unster_U_run2_fastq_barcode17.fastq.gz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</si>
</sst>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tr">
        <f t="shared" ref="B2:B17" si="1">LEFT(A2,FIND("_barcode",A2)-1)</f>
        <v>2024_06_04_NTC_ster_unster_J_run1_fastq</v>
      </c>
      <c r="C2" s="2" t="str">
        <f>IFERROR(__xludf.DUMMYFUNCTION("REGEXEXTRACT(A2,""_(barcode[^.]+)"")"),"barcode17")</f>
        <v>barcode17</v>
      </c>
      <c r="D2" s="1" t="s">
        <v>6</v>
      </c>
      <c r="E2" s="1" t="s">
        <v>7</v>
      </c>
    </row>
    <row r="3">
      <c r="A3" s="1" t="s">
        <v>8</v>
      </c>
      <c r="B3" s="2" t="str">
        <f t="shared" si="1"/>
        <v>2024_06_04_NTC_ster_unster_J_run1_fastq</v>
      </c>
      <c r="C3" s="2" t="str">
        <f>IFERROR(__xludf.DUMMYFUNCTION("REGEXEXTRACT(A3,""_(barcode[^.]+)"")"),"barcode18")</f>
        <v>barcode18</v>
      </c>
      <c r="D3" s="1" t="s">
        <v>6</v>
      </c>
      <c r="E3" s="1" t="s">
        <v>7</v>
      </c>
    </row>
    <row r="4">
      <c r="A4" s="1" t="s">
        <v>9</v>
      </c>
      <c r="B4" s="2" t="str">
        <f t="shared" si="1"/>
        <v>2024_06_04_NTC_ster_unster_J_run1_fastq</v>
      </c>
      <c r="C4" s="2" t="str">
        <f>IFERROR(__xludf.DUMMYFUNCTION("REGEXEXTRACT(A4,""_(barcode[^.]+)"")"),"barcode19")</f>
        <v>barcode19</v>
      </c>
      <c r="D4" s="1" t="s">
        <v>6</v>
      </c>
      <c r="E4" s="1" t="s">
        <v>7</v>
      </c>
    </row>
    <row r="5">
      <c r="A5" s="1" t="s">
        <v>10</v>
      </c>
      <c r="B5" s="2" t="str">
        <f t="shared" si="1"/>
        <v>2024_06_04_NTC_ster_unster_J_run1_fastq</v>
      </c>
      <c r="C5" s="2" t="str">
        <f>IFERROR(__xludf.DUMMYFUNCTION("REGEXEXTRACT(A5,""_(barcode[^.]+)"")"),"barcode20")</f>
        <v>barcode20</v>
      </c>
      <c r="D5" s="1" t="s">
        <v>6</v>
      </c>
      <c r="E5" s="1" t="s">
        <v>7</v>
      </c>
    </row>
    <row r="6">
      <c r="A6" s="1" t="s">
        <v>11</v>
      </c>
      <c r="B6" s="2" t="str">
        <f t="shared" si="1"/>
        <v>2024_06_04_NTC_ster_unster_J_run1_fastq</v>
      </c>
      <c r="C6" s="2" t="str">
        <f>IFERROR(__xludf.DUMMYFUNCTION("REGEXEXTRACT(A6,""_(barcode[^.]+)"")"),"barcode21")</f>
        <v>barcode21</v>
      </c>
      <c r="D6" s="1" t="s">
        <v>6</v>
      </c>
      <c r="E6" s="1" t="s">
        <v>12</v>
      </c>
    </row>
    <row r="7">
      <c r="A7" s="1" t="s">
        <v>13</v>
      </c>
      <c r="B7" s="2" t="str">
        <f t="shared" si="1"/>
        <v>2024_06_04_NTC_ster_unster_J_run1_fastq</v>
      </c>
      <c r="C7" s="2" t="str">
        <f>IFERROR(__xludf.DUMMYFUNCTION("REGEXEXTRACT(A7,""_(barcode[^.]+)"")"),"barcode22")</f>
        <v>barcode22</v>
      </c>
      <c r="D7" s="1" t="s">
        <v>6</v>
      </c>
      <c r="E7" s="1" t="s">
        <v>12</v>
      </c>
    </row>
    <row r="8">
      <c r="A8" s="1" t="s">
        <v>14</v>
      </c>
      <c r="B8" s="2" t="str">
        <f t="shared" si="1"/>
        <v>2024_06_04_NTC_ster_unster_J_run1_fastq</v>
      </c>
      <c r="C8" s="2" t="str">
        <f>IFERROR(__xludf.DUMMYFUNCTION("REGEXEXTRACT(A8,""_(barcode[^.]+)"")"),"barcode23")</f>
        <v>barcode23</v>
      </c>
      <c r="D8" s="1" t="s">
        <v>6</v>
      </c>
      <c r="E8" s="1" t="s">
        <v>12</v>
      </c>
    </row>
    <row r="9">
      <c r="A9" s="1" t="s">
        <v>15</v>
      </c>
      <c r="B9" s="2" t="str">
        <f t="shared" si="1"/>
        <v>2024_06_04_NTC_ster_unster_J_run1_fastq</v>
      </c>
      <c r="C9" s="2" t="str">
        <f>IFERROR(__xludf.DUMMYFUNCTION("REGEXEXTRACT(A9,""_(barcode[^.]+)"")"),"barcode24")</f>
        <v>barcode24</v>
      </c>
      <c r="D9" s="1" t="s">
        <v>6</v>
      </c>
      <c r="E9" s="1" t="s">
        <v>12</v>
      </c>
    </row>
    <row r="10">
      <c r="A10" s="1" t="s">
        <v>16</v>
      </c>
      <c r="B10" s="2" t="str">
        <f t="shared" si="1"/>
        <v>2024_06_06_NTC_ster_unster_U_run2_fastq</v>
      </c>
      <c r="C10" s="2" t="str">
        <f>IFERROR(__xludf.DUMMYFUNCTION("REGEXEXTRACT(A10,""_(barcode[^.]+)"")"),"barcode10")</f>
        <v>barcode10</v>
      </c>
      <c r="D10" s="1" t="s">
        <v>17</v>
      </c>
      <c r="E10" s="1" t="s">
        <v>7</v>
      </c>
    </row>
    <row r="11">
      <c r="A11" s="1" t="s">
        <v>18</v>
      </c>
      <c r="B11" s="2" t="str">
        <f t="shared" si="1"/>
        <v>2024_06_06_NTC_ster_unster_U_run2_fastq</v>
      </c>
      <c r="C11" s="2" t="str">
        <f>IFERROR(__xludf.DUMMYFUNCTION("REGEXEXTRACT(A11,""_(barcode[^.]+)"")"),"barcode11")</f>
        <v>barcode11</v>
      </c>
      <c r="D11" s="1" t="s">
        <v>17</v>
      </c>
      <c r="E11" s="1" t="s">
        <v>7</v>
      </c>
    </row>
    <row r="12">
      <c r="A12" s="1" t="s">
        <v>19</v>
      </c>
      <c r="B12" s="2" t="str">
        <f t="shared" si="1"/>
        <v>2024_06_06_NTC_ster_unster_U_run2_fastq</v>
      </c>
      <c r="C12" s="2" t="str">
        <f>IFERROR(__xludf.DUMMYFUNCTION("REGEXEXTRACT(A12,""_(barcode[^.]+)"")"),"barcode12")</f>
        <v>barcode12</v>
      </c>
      <c r="D12" s="1" t="s">
        <v>17</v>
      </c>
      <c r="E12" s="1" t="s">
        <v>7</v>
      </c>
    </row>
    <row r="13">
      <c r="A13" s="1" t="s">
        <v>20</v>
      </c>
      <c r="B13" s="2" t="str">
        <f t="shared" si="1"/>
        <v>2024_06_06_NTC_ster_unster_U_run2_fastq</v>
      </c>
      <c r="C13" s="2" t="str">
        <f>IFERROR(__xludf.DUMMYFUNCTION("REGEXEXTRACT(A13,""_(barcode[^.]+)"")"),"barcode13")</f>
        <v>barcode13</v>
      </c>
      <c r="D13" s="1" t="s">
        <v>17</v>
      </c>
      <c r="E13" s="1" t="s">
        <v>7</v>
      </c>
    </row>
    <row r="14">
      <c r="A14" s="1" t="s">
        <v>21</v>
      </c>
      <c r="B14" s="2" t="str">
        <f t="shared" si="1"/>
        <v>2024_06_06_NTC_ster_unster_U_run2_fastq</v>
      </c>
      <c r="C14" s="2" t="str">
        <f>IFERROR(__xludf.DUMMYFUNCTION("REGEXEXTRACT(A14,""_(barcode[^.]+)"")"),"barcode14")</f>
        <v>barcode14</v>
      </c>
      <c r="D14" s="1" t="s">
        <v>17</v>
      </c>
      <c r="E14" s="1" t="s">
        <v>12</v>
      </c>
    </row>
    <row r="15">
      <c r="A15" s="1" t="s">
        <v>22</v>
      </c>
      <c r="B15" s="2" t="str">
        <f t="shared" si="1"/>
        <v>2024_06_06_NTC_ster_unster_U_run2_fastq</v>
      </c>
      <c r="C15" s="2" t="str">
        <f>IFERROR(__xludf.DUMMYFUNCTION("REGEXEXTRACT(A15,""_(barcode[^.]+)"")"),"barcode15")</f>
        <v>barcode15</v>
      </c>
      <c r="D15" s="1" t="s">
        <v>17</v>
      </c>
      <c r="E15" s="1" t="s">
        <v>12</v>
      </c>
    </row>
    <row r="16">
      <c r="A16" s="1" t="s">
        <v>23</v>
      </c>
      <c r="B16" s="2" t="str">
        <f t="shared" si="1"/>
        <v>2024_06_06_NTC_ster_unster_U_run2_fastq</v>
      </c>
      <c r="C16" s="2" t="str">
        <f>IFERROR(__xludf.DUMMYFUNCTION("REGEXEXTRACT(A16,""_(barcode[^.]+)"")"),"barcode16")</f>
        <v>barcode16</v>
      </c>
      <c r="D16" s="1" t="s">
        <v>17</v>
      </c>
      <c r="E16" s="1" t="s">
        <v>12</v>
      </c>
    </row>
    <row r="17">
      <c r="A17" s="1" t="s">
        <v>24</v>
      </c>
      <c r="B17" s="2" t="str">
        <f t="shared" si="1"/>
        <v>2024_06_06_NTC_ster_unster_U_run2_fastq</v>
      </c>
      <c r="C17" s="2" t="str">
        <f>IFERROR(__xludf.DUMMYFUNCTION("REGEXEXTRACT(A17,""_(barcode[^.]+)"")"),"barcode17")</f>
        <v>barcode17</v>
      </c>
      <c r="D17" s="1" t="s">
        <v>17</v>
      </c>
      <c r="E17" s="1" t="s">
        <v>12</v>
      </c>
    </row>
  </sheetData>
  <drawing r:id="rId1"/>
</worksheet>
</file>