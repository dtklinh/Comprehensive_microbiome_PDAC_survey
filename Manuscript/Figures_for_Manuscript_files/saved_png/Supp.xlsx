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1" sheetId="1" state="visible" r:id="rId3"/>
    <sheet name="DAA_LP" sheetId="2" state="visible" r:id="rId4"/>
    <sheet name="T3" sheetId="3" state="visible" r:id="rId5"/>
    <sheet name="T4" sheetId="4" state="visible" r:id="rId6"/>
    <sheet name="T5" sheetId="5" state="visible" r:id="rId7"/>
    <sheet name="Chap1_DAA" sheetId="6" state="visible" r:id="rId8"/>
    <sheet name="Chap1_Alpha" sheetId="7" state="visible" r:id="rId9"/>
    <sheet name="Chap1_beta" sheetId="8" state="visible" r:id="rId10"/>
    <sheet name="Chap1_Heatmap_topGenus" sheetId="9" state="visible" r:id="rId11"/>
    <sheet name="Chap1_Heatmap_topSpecies" sheetId="10" state="visible" r:id="rId12"/>
    <sheet name="Chap2_Alpha" sheetId="11" state="visible" r:id="rId13"/>
    <sheet name="Chap2_beta" sheetId="12" state="visible" r:id="rId14"/>
    <sheet name="Chap2_DAA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<sst xmlns="http://schemas.openxmlformats.org/spreadsheetml/2006/main" count="794" uniqueCount="331">
  <si>
    <t xml:space="preserve">Chap1: beta diversity, pairwise</t>
  </si>
  <si>
    <t xml:space="preserve">Buffer</t>
  </si>
  <si>
    <t xml:space="preserve">Paraffin</t>
  </si>
  <si>
    <t xml:space="preserve">PCR</t>
  </si>
  <si>
    <t xml:space="preserve">Accounting for LP</t>
  </si>
  <si>
    <t xml:space="preserve">Adonis2 : Dist ~ Person + Year + Quarter + Control_type</t>
  </si>
  <si>
    <t xml:space="preserve">group1</t>
  </si>
  <si>
    <t xml:space="preserve">group2</t>
  </si>
  <si>
    <t xml:space="preserve">p_value</t>
  </si>
  <si>
    <t xml:space="preserve">F_model</t>
  </si>
  <si>
    <t xml:space="preserve">R2</t>
  </si>
  <si>
    <t xml:space="preserve">Chap2</t>
  </si>
  <si>
    <t xml:space="preserve">DAA w.r.t LP</t>
  </si>
  <si>
    <t xml:space="preserve">feature</t>
  </si>
  <si>
    <t xml:space="preserve">metadata</t>
  </si>
  <si>
    <t xml:space="preserve">value</t>
  </si>
  <si>
    <t xml:space="preserve">coef</t>
  </si>
  <si>
    <t xml:space="preserve">stderr</t>
  </si>
  <si>
    <t xml:space="preserve">N</t>
  </si>
  <si>
    <t xml:space="preserve">N.not.0</t>
  </si>
  <si>
    <t xml:space="preserve">pval</t>
  </si>
  <si>
    <t xml:space="preserve">qval</t>
  </si>
  <si>
    <t xml:space="preserve">Acinetobacter_baumannii</t>
  </si>
  <si>
    <t xml:space="preserve">LP</t>
  </si>
  <si>
    <t xml:space="preserve">Escherichia_coli</t>
  </si>
  <si>
    <t xml:space="preserve">Variovorax_sp._RA8</t>
  </si>
  <si>
    <t xml:space="preserve">Variovorax_paradoxus</t>
  </si>
  <si>
    <t xml:space="preserve">Klebsiella_quasipneumoniae</t>
  </si>
  <si>
    <t xml:space="preserve">Stenotrophomonas_maltophilia</t>
  </si>
  <si>
    <t xml:space="preserve">Brevundimonas_sp._DS20</t>
  </si>
  <si>
    <t xml:space="preserve">Calothrix_sp._NIES.3974</t>
  </si>
  <si>
    <t xml:space="preserve">Shigella_flexneri</t>
  </si>
  <si>
    <t xml:space="preserve">Hydrogenophaga_taeniospiralis</t>
  </si>
  <si>
    <t xml:space="preserve">Brevundimonas_fontaquae</t>
  </si>
  <si>
    <t xml:space="preserve">Variovorax_sp._PBL.H6</t>
  </si>
  <si>
    <t xml:space="preserve">Variovorax_sp._SRS16</t>
  </si>
  <si>
    <t xml:space="preserve">Variovorax_sp._PAMC_28711</t>
  </si>
  <si>
    <t xml:space="preserve">Fischerella_sp._NIES.3754</t>
  </si>
  <si>
    <t xml:space="preserve">cyanobacterium_endosymbiont_of_Epithemia_turgida</t>
  </si>
  <si>
    <t xml:space="preserve">Escherichia_albertii</t>
  </si>
  <si>
    <t xml:space="preserve">Sphingomonas_panacisoli</t>
  </si>
  <si>
    <t xml:space="preserve">Sphingomonas_sp._FARSPH</t>
  </si>
  <si>
    <t xml:space="preserve">Salmonella_enterica</t>
  </si>
  <si>
    <t xml:space="preserve">Sphingomonas_sp._S2.65</t>
  </si>
  <si>
    <t xml:space="preserve">Sphingomonas_koreensis</t>
  </si>
  <si>
    <t xml:space="preserve">Escherichia_fergusonii</t>
  </si>
  <si>
    <t xml:space="preserve">Sphingomonas_sinipercae</t>
  </si>
  <si>
    <t xml:space="preserve">Acidovorax_sp._KKS102</t>
  </si>
  <si>
    <t xml:space="preserve">Sphingomonas_suaedae</t>
  </si>
  <si>
    <t xml:space="preserve">Rhodoferax_koreense</t>
  </si>
  <si>
    <t xml:space="preserve">Thermoleptolyngbya_sp._PKUAC.SCTB121</t>
  </si>
  <si>
    <t xml:space="preserve">Roseateles_amylovorans</t>
  </si>
  <si>
    <t xml:space="preserve">Environment</t>
  </si>
  <si>
    <t xml:space="preserve">HOOD</t>
  </si>
  <si>
    <t xml:space="preserve">Sphingomonas_alpina</t>
  </si>
  <si>
    <t xml:space="preserve">Delftia_acidovorans</t>
  </si>
  <si>
    <t xml:space="preserve">Sphingomonas_sp._QA11</t>
  </si>
  <si>
    <t xml:space="preserve">Phyllobacterium_sp._T1018</t>
  </si>
  <si>
    <t xml:space="preserve">Fischerella_sp._JS2</t>
  </si>
  <si>
    <t xml:space="preserve">Croceicoccus_sp._YJ47</t>
  </si>
  <si>
    <t xml:space="preserve">Variovorax_sp._PBL.E5</t>
  </si>
  <si>
    <t xml:space="preserve">Acidovorax_carolinensis</t>
  </si>
  <si>
    <t xml:space="preserve">Variovorax_sp._PMC12</t>
  </si>
  <si>
    <t xml:space="preserve">Calothrix_sp._336.3</t>
  </si>
  <si>
    <t xml:space="preserve">Dolichospermum_flos.aquae</t>
  </si>
  <si>
    <t xml:space="preserve">Nostoc_sp._MS1</t>
  </si>
  <si>
    <t xml:space="preserve">Rhodoferax_sp._GW822.FHT02A01</t>
  </si>
  <si>
    <t xml:space="preserve">Sphingomonas_endolithica</t>
  </si>
  <si>
    <t xml:space="preserve">Shigella_boydii</t>
  </si>
  <si>
    <t xml:space="preserve">Nj</t>
  </si>
  <si>
    <t xml:space="preserve">Restrictive</t>
  </si>
  <si>
    <t xml:space="preserve">SCRuB</t>
  </si>
  <si>
    <t xml:space="preserve">Decontam</t>
  </si>
  <si>
    <t xml:space="preserve">Raw</t>
  </si>
  <si>
    <t xml:space="preserve">NA</t>
  </si>
  <si>
    <t xml:space="preserve">6.68e-05(****)</t>
  </si>
  <si>
    <t xml:space="preserve">5.44e-06(****)</t>
  </si>
  <si>
    <t xml:space="preserve">1(ns)</t>
  </si>
  <si>
    <t xml:space="preserve">1.9e-05(****)</t>
  </si>
  <si>
    <t xml:space="preserve">Method: row vs column</t>
  </si>
  <si>
    <t xml:space="preserve">Direction: greater</t>
  </si>
  <si>
    <t xml:space="preserve">Paired Wilcox Test for Composite Score</t>
  </si>
  <si>
    <t xml:space="preserve">0.001(**)</t>
  </si>
  <si>
    <t xml:space="preserve">0.003(**)</t>
  </si>
  <si>
    <t xml:space="preserve">0.08(ns)</t>
  </si>
  <si>
    <t xml:space="preserve">Direction: less</t>
  </si>
  <si>
    <t xml:space="preserve">Paired Wilcox Test for inter-replica distance</t>
  </si>
  <si>
    <t xml:space="preserve">0.002(**)</t>
  </si>
  <si>
    <t xml:space="preserve">0.031(*)</t>
  </si>
  <si>
    <t xml:space="preserve">0.004(**)</t>
  </si>
  <si>
    <t xml:space="preserve">0.968(ns)</t>
  </si>
  <si>
    <t xml:space="preserve">0.263(ns)</t>
  </si>
  <si>
    <t xml:space="preserve">Paired Wilcox Test for overlap-overall ratio</t>
  </si>
  <si>
    <t xml:space="preserve">ref_value</t>
  </si>
  <si>
    <t xml:space="preserve">Prevotella__histicola</t>
  </si>
  <si>
    <t xml:space="preserve">Diaphorobacter__sp.__JS3050</t>
  </si>
  <si>
    <t xml:space="preserve">Schaalia__odontolytica</t>
  </si>
  <si>
    <t xml:space="preserve">Lancefieldella__parvula</t>
  </si>
  <si>
    <t xml:space="preserve">Stenotrophomonas__maltophilia</t>
  </si>
  <si>
    <t xml:space="preserve">Sphingomonas__sanguinis</t>
  </si>
  <si>
    <t xml:space="preserve">Diaphorobacter__aerolatus</t>
  </si>
  <si>
    <t xml:space="preserve">Chryseomicrobium__sp.__FSL__W7.1435</t>
  </si>
  <si>
    <t xml:space="preserve">Prevotella__jejuni</t>
  </si>
  <si>
    <t xml:space="preserve">Diaphorobacter__nitroreducens</t>
  </si>
  <si>
    <t xml:space="preserve">Brevundimonas__sp.__C43</t>
  </si>
  <si>
    <t xml:space="preserve">Prevotella__melaninogenica</t>
  </si>
  <si>
    <t xml:space="preserve">Brevundimonas__diminuta</t>
  </si>
  <si>
    <t xml:space="preserve">Bradyrhizobium__arachidis</t>
  </si>
  <si>
    <t xml:space="preserve">Comamonas__aquatica</t>
  </si>
  <si>
    <t xml:space="preserve">Planococcus__halotolerans</t>
  </si>
  <si>
    <t xml:space="preserve">Planococcus__donghaensis</t>
  </si>
  <si>
    <t xml:space="preserve">Bradyrhizobium__sp.__170</t>
  </si>
  <si>
    <t xml:space="preserve">Ralstonia__sp.__RRA.1</t>
  </si>
  <si>
    <t xml:space="preserve">Comamonas__fluminis</t>
  </si>
  <si>
    <t xml:space="preserve">Prevotella__intermedia</t>
  </si>
  <si>
    <t xml:space="preserve">Marinilactibacillus__sp.__15R</t>
  </si>
  <si>
    <t xml:space="preserve">Brevundimonas__vesicularis</t>
  </si>
  <si>
    <t xml:space="preserve">Ralstonia__insidiosa</t>
  </si>
  <si>
    <t xml:space="preserve">Sphingomonas__paucimobilis</t>
  </si>
  <si>
    <t xml:space="preserve">Diaphorobacter__sp.__C33</t>
  </si>
  <si>
    <t xml:space="preserve">Selenobaculum__gbiensis</t>
  </si>
  <si>
    <t xml:space="preserve">Bradyrhizobium__diazoefficiens</t>
  </si>
  <si>
    <t xml:space="preserve">Rothia__mucilaginosa</t>
  </si>
  <si>
    <t xml:space="preserve">Bradyrhizobium__symbiodeficiens</t>
  </si>
  <si>
    <t xml:space="preserve">Brevundimonas__sp.__GW460.12.10.14.LB2</t>
  </si>
  <si>
    <t xml:space="preserve">Comamonas__odontotermitis</t>
  </si>
  <si>
    <t xml:space="preserve">Bradyrhizobium__sp.__CCBAU__53351</t>
  </si>
  <si>
    <t xml:space="preserve">Mesorhizobium__terrae</t>
  </si>
  <si>
    <t xml:space="preserve">Rhodopseudomonas__sp.__P2A.2r</t>
  </si>
  <si>
    <t xml:space="preserve">Bradyrhizobium__cosmicum</t>
  </si>
  <si>
    <t xml:space="preserve">Bradyrhizobium__sp.__WU425</t>
  </si>
  <si>
    <t xml:space="preserve">Tardibacter__chloracetimidivorans</t>
  </si>
  <si>
    <t xml:space="preserve">Moraxella__sp.__DOX410</t>
  </si>
  <si>
    <t xml:space="preserve">Bradyrhizobium__sp.__CIAT3101</t>
  </si>
  <si>
    <t xml:space="preserve">Staphylococcus__argenteus</t>
  </si>
  <si>
    <t xml:space="preserve">Janthinobacterium__lividum</t>
  </si>
  <si>
    <t xml:space="preserve">Bradyrhizobium__commune</t>
  </si>
  <si>
    <t xml:space="preserve">Bradyrhizobium__vignae</t>
  </si>
  <si>
    <t xml:space="preserve">Brevundimonas__mediterranea</t>
  </si>
  <si>
    <t xml:space="preserve">Bradyrhizobium__barranii</t>
  </si>
  <si>
    <t xml:space="preserve">Bradyrhizobium__roseus</t>
  </si>
  <si>
    <t xml:space="preserve">Sphingomonas__paeninsulae</t>
  </si>
  <si>
    <t xml:space="preserve">Acinetobacter__lwoffii</t>
  </si>
  <si>
    <t xml:space="preserve">Stenotrophomonas__sp.__G4</t>
  </si>
  <si>
    <t xml:space="preserve">Bradyrhizobium__sp.__NP1</t>
  </si>
  <si>
    <t xml:space="preserve">Sphingomonas__abietis</t>
  </si>
  <si>
    <t xml:space="preserve">Finegoldia__magna</t>
  </si>
  <si>
    <t xml:space="preserve">Brevundimonas__nasdae</t>
  </si>
  <si>
    <t xml:space="preserve">Brucella__sp.__JSBI001</t>
  </si>
  <si>
    <t xml:space="preserve">Methylorubrum__populi</t>
  </si>
  <si>
    <t xml:space="preserve">Chapter 1, Alpha analyses</t>
  </si>
  <si>
    <t xml:space="preserve">Observed species</t>
  </si>
  <si>
    <t xml:space="preserve">contrast</t>
  </si>
  <si>
    <t xml:space="preserve">estimate</t>
  </si>
  <si>
    <t xml:space="preserve">SE</t>
  </si>
  <si>
    <t xml:space="preserve">df</t>
  </si>
  <si>
    <t xml:space="preserve">asymp.LCL</t>
  </si>
  <si>
    <t xml:space="preserve">asymp.UCL</t>
  </si>
  <si>
    <t xml:space="preserve">z.ratio</t>
  </si>
  <si>
    <t xml:space="preserve">p.value</t>
  </si>
  <si>
    <t xml:space="preserve">IRR</t>
  </si>
  <si>
    <t xml:space="preserve">LCL</t>
  </si>
  <si>
    <t xml:space="preserve">UCL</t>
  </si>
  <si>
    <t xml:space="preserve">Buffer - Paraffin</t>
  </si>
  <si>
    <t xml:space="preserve">Inf</t>
  </si>
  <si>
    <t xml:space="preserve">Buffer - PCR</t>
  </si>
  <si>
    <t xml:space="preserve">Paraffin - PCR</t>
  </si>
  <si>
    <t xml:space="preserve">Shannon Index</t>
  </si>
  <si>
    <t xml:space="preserve">lower.CL</t>
  </si>
  <si>
    <t xml:space="preserve">upper.CL</t>
  </si>
  <si>
    <t xml:space="preserve">t.ratio</t>
  </si>
  <si>
    <t xml:space="preserve">exp</t>
  </si>
  <si>
    <t xml:space="preserve">dbrda(bray_dist ~ Control_type + Person + Year + Quarter, data = df_meta) with anova(…, by = “margin”)</t>
  </si>
  <si>
    <t xml:space="preserve">Variable</t>
  </si>
  <si>
    <t xml:space="preserve">Df</t>
  </si>
  <si>
    <t xml:space="preserve">SumOfSqs</t>
  </si>
  <si>
    <t xml:space="preserve">Omega2</t>
  </si>
  <si>
    <t xml:space="preserve">F</t>
  </si>
  <si>
    <t xml:space="preserve">Pr(&gt;F)</t>
  </si>
  <si>
    <t xml:space="preserve">Control_type</t>
  </si>
  <si>
    <t xml:space="preserve">Person</t>
  </si>
  <si>
    <t xml:space="preserve">Year</t>
  </si>
  <si>
    <t xml:space="preserve">Quarter</t>
  </si>
  <si>
    <t xml:space="preserve">Residual</t>
  </si>
  <si>
    <t xml:space="preserve">Taxa</t>
  </si>
  <si>
    <t xml:space="preserve">Reads</t>
  </si>
  <si>
    <t xml:space="preserve">CumPercent</t>
  </si>
  <si>
    <t xml:space="preserve">Sphingomonas</t>
  </si>
  <si>
    <t xml:space="preserve">Caldibacillus</t>
  </si>
  <si>
    <t xml:space="preserve">Streptococcus</t>
  </si>
  <si>
    <t xml:space="preserve">Burkholderia</t>
  </si>
  <si>
    <t xml:space="preserve">Fervidibacillus</t>
  </si>
  <si>
    <t xml:space="preserve">Bradyrhizobium</t>
  </si>
  <si>
    <t xml:space="preserve">Sporosarcina</t>
  </si>
  <si>
    <t xml:space="preserve">Cutibacterium</t>
  </si>
  <si>
    <t xml:space="preserve">Veillonella</t>
  </si>
  <si>
    <t xml:space="preserve">Delftia</t>
  </si>
  <si>
    <t xml:space="preserve">Bacillus</t>
  </si>
  <si>
    <t xml:space="preserve">Staphylococcus</t>
  </si>
  <si>
    <t xml:space="preserve">Variovorax</t>
  </si>
  <si>
    <t xml:space="preserve">Haemophilus</t>
  </si>
  <si>
    <t xml:space="preserve">Peptoniphilus</t>
  </si>
  <si>
    <t xml:space="preserve">Niallia</t>
  </si>
  <si>
    <t xml:space="preserve">Finegoldia</t>
  </si>
  <si>
    <t xml:space="preserve">Caldifermentibacillus</t>
  </si>
  <si>
    <t xml:space="preserve">Stenotrophomonas</t>
  </si>
  <si>
    <t xml:space="preserve">Escherichia</t>
  </si>
  <si>
    <t xml:space="preserve">Methylorubrum</t>
  </si>
  <si>
    <t xml:space="preserve">Paracoccus</t>
  </si>
  <si>
    <t xml:space="preserve">Anaerococcus</t>
  </si>
  <si>
    <t xml:space="preserve">Gemella</t>
  </si>
  <si>
    <t xml:space="preserve">Methylobacterium</t>
  </si>
  <si>
    <t xml:space="preserve">Roseomonas</t>
  </si>
  <si>
    <t xml:space="preserve">Clostridium</t>
  </si>
  <si>
    <t xml:space="preserve">Neobacillus</t>
  </si>
  <si>
    <t xml:space="preserve">Brucella</t>
  </si>
  <si>
    <t xml:space="preserve">Achromobacter</t>
  </si>
  <si>
    <t xml:space="preserve">Prevalence</t>
  </si>
  <si>
    <t xml:space="preserve">Abundance</t>
  </si>
  <si>
    <t xml:space="preserve">Caldibacillus__thermoamylovorans</t>
  </si>
  <si>
    <t xml:space="preserve">Sphingomonas__hankookensis</t>
  </si>
  <si>
    <t xml:space="preserve">Fervidibacillus__albus</t>
  </si>
  <si>
    <t xml:space="preserve">Sporosarcina__sp.__Marseille-Q4063</t>
  </si>
  <si>
    <t xml:space="preserve">Cutibacterium__acnes</t>
  </si>
  <si>
    <t xml:space="preserve">Delftia__acidovorans</t>
  </si>
  <si>
    <t xml:space="preserve">Sphingomonas__sp.__AAP5</t>
  </si>
  <si>
    <t xml:space="preserve">Veillonella__parvula</t>
  </si>
  <si>
    <t xml:space="preserve">Bradyrhizobium__elkanii</t>
  </si>
  <si>
    <t xml:space="preserve">Burkholderia__contaminans</t>
  </si>
  <si>
    <t xml:space="preserve">Sphingomonas__alpina</t>
  </si>
  <si>
    <t xml:space="preserve">Streptococcus__mitis</t>
  </si>
  <si>
    <t xml:space="preserve">Variovorax__paradoxus</t>
  </si>
  <si>
    <t xml:space="preserve">Streptococcus__oralis</t>
  </si>
  <si>
    <t xml:space="preserve">Haemophilus__parainfluenzae</t>
  </si>
  <si>
    <t xml:space="preserve">Bradyrhizobium__sp.__41S5</t>
  </si>
  <si>
    <t xml:space="preserve">Niallia__sp.__XMNu-256</t>
  </si>
  <si>
    <t xml:space="preserve">Caldifermentibacillus__hisashii</t>
  </si>
  <si>
    <t xml:space="preserve">Streptococcus__thermophilus</t>
  </si>
  <si>
    <t xml:space="preserve">Escherichia__coli</t>
  </si>
  <si>
    <t xml:space="preserve">Sphingomonas__sp.__QA11</t>
  </si>
  <si>
    <t xml:space="preserve">Methylorubrum__extorquens</t>
  </si>
  <si>
    <t xml:space="preserve">Sphingomonas__sp.__NY01</t>
  </si>
  <si>
    <t xml:space="preserve">Peptonophilus__genitalis</t>
  </si>
  <si>
    <t xml:space="preserve">Roseomonas__mucosa</t>
  </si>
  <si>
    <t xml:space="preserve">Bacillus__sp.__OxB-1</t>
  </si>
  <si>
    <t xml:space="preserve">Staphylococcus__epidermidis</t>
  </si>
  <si>
    <t xml:space="preserve">Burkholderia__cenocepacia</t>
  </si>
  <si>
    <t xml:space="preserve">Abiotrophia__defectiva</t>
  </si>
  <si>
    <t xml:space="preserve">Streptococcus__pneumoniae</t>
  </si>
  <si>
    <t xml:space="preserve">Neobacillus__sp.__PS3-40</t>
  </si>
  <si>
    <t xml:space="preserve">Sphingomonas__sp.__So64.6b</t>
  </si>
  <si>
    <t xml:space="preserve">Staphylococcus__hominis</t>
  </si>
  <si>
    <t xml:space="preserve">Bacillus__sp.__S3</t>
  </si>
  <si>
    <t xml:space="preserve">Bradyrhizobium__septentrionale</t>
  </si>
  <si>
    <t xml:space="preserve">Burkholderia__cepacia</t>
  </si>
  <si>
    <t xml:space="preserve">Macrococcus__equipercicus</t>
  </si>
  <si>
    <t xml:space="preserve">Bradyrhizobium__quebecense</t>
  </si>
  <si>
    <t xml:space="preserve">Bacillus__sp.__T3</t>
  </si>
  <si>
    <t xml:space="preserve">Burkholderia__aenigmatica</t>
  </si>
  <si>
    <t xml:space="preserve">Sphingomonas__panacis</t>
  </si>
  <si>
    <t xml:space="preserve">Brucella__anthropi</t>
  </si>
  <si>
    <t xml:space="preserve">Gemella__haemolysans</t>
  </si>
  <si>
    <t xml:space="preserve">Granulicatella__adiacens</t>
  </si>
  <si>
    <t xml:space="preserve">Methylobacterium__sp.__FF17</t>
  </si>
  <si>
    <t xml:space="preserve">Streptococcus__salivarius</t>
  </si>
  <si>
    <t xml:space="preserve">Burkholderia__lata</t>
  </si>
  <si>
    <t xml:space="preserve">Parvimonas__micra</t>
  </si>
  <si>
    <t xml:space="preserve">Peribacillus__asahii</t>
  </si>
  <si>
    <t xml:space="preserve">Brevundimonas__sp.__PAMC22021</t>
  </si>
  <si>
    <t xml:space="preserve">Streptococcus__gordonii</t>
  </si>
  <si>
    <t xml:space="preserve">Planococcus__versutus</t>
  </si>
  <si>
    <t xml:space="preserve">Sphingomonas__sp.__HMP6</t>
  </si>
  <si>
    <t xml:space="preserve">Streptococcus__parasanguinis</t>
  </si>
  <si>
    <t xml:space="preserve">Sphingomonas__sp.__CL5.1</t>
  </si>
  <si>
    <t xml:space="preserve">Burkholderia__glumae</t>
  </si>
  <si>
    <t xml:space="preserve">Burkholderia__arboris</t>
  </si>
  <si>
    <t xml:space="preserve">Priestia__filamentosa</t>
  </si>
  <si>
    <t xml:space="preserve">Fenollaria__massiliensis</t>
  </si>
  <si>
    <t xml:space="preserve">Anaerococcus__obesiensis</t>
  </si>
  <si>
    <t xml:space="preserve">Veillonella__rogosae</t>
  </si>
  <si>
    <t xml:space="preserve">Stenotrophomonas__sp.__KCTC__12332</t>
  </si>
  <si>
    <t xml:space="preserve">Peptoniphilus__harei</t>
  </si>
  <si>
    <t xml:space="preserve">Paracoccus__contaminans</t>
  </si>
  <si>
    <t xml:space="preserve">Veillonella__atypica</t>
  </si>
  <si>
    <t xml:space="preserve">Blastococcus__sp.__PRF04-17</t>
  </si>
  <si>
    <t xml:space="preserve">Staphylococcus__aureus</t>
  </si>
  <si>
    <t xml:space="preserve">Sphingomonas__sp.__NIBR02145</t>
  </si>
  <si>
    <t xml:space="preserve">Fervidibacillus__halotolerans</t>
  </si>
  <si>
    <t xml:space="preserve">Veillonella__nakazawae</t>
  </si>
  <si>
    <t xml:space="preserve">Clostridium__isatidis</t>
  </si>
  <si>
    <t xml:space="preserve">Methylobacterium__indicum</t>
  </si>
  <si>
    <t xml:space="preserve">Clostridium__chauvoei</t>
  </si>
  <si>
    <t xml:space="preserve">Macrococcoides__caseolyticum</t>
  </si>
  <si>
    <t xml:space="preserve">Aquabacterium__olei</t>
  </si>
  <si>
    <t xml:space="preserve">Anaerococcus__sp.__Marseille-Q7828</t>
  </si>
  <si>
    <t xml:space="preserve">Cutibacterium__granulosum</t>
  </si>
  <si>
    <t xml:space="preserve">Streptococcus__mutans</t>
  </si>
  <si>
    <t xml:space="preserve">Streptococcus__sp.__FSL__W8-0197</t>
  </si>
  <si>
    <t xml:space="preserve">Bacillus__subtilis</t>
  </si>
  <si>
    <t xml:space="preserve">Bacillus__smithii</t>
  </si>
  <si>
    <t xml:space="preserve">Veillonella__sp.__S12025-13</t>
  </si>
  <si>
    <t xml:space="preserve">Sphingomonas__sp.__LK11</t>
  </si>
  <si>
    <t xml:space="preserve">Sphingomonas__sp.__FARSPH</t>
  </si>
  <si>
    <t xml:space="preserve">Exiguobacterium__aurantiacum</t>
  </si>
  <si>
    <t xml:space="preserve">Peptostreptococcus__equinus</t>
  </si>
  <si>
    <t xml:space="preserve">Sphingomonas__melonis</t>
  </si>
  <si>
    <t xml:space="preserve">Bradyrhizobium__sp.__200</t>
  </si>
  <si>
    <t xml:space="preserve">Stenotrophomonas__acidaminiphila</t>
  </si>
  <si>
    <t xml:space="preserve">Achromobacter__xylosoxidans</t>
  </si>
  <si>
    <t xml:space="preserve">Haemophilus__haemolyticus</t>
  </si>
  <si>
    <t xml:space="preserve">Mogibacterium__diversum</t>
  </si>
  <si>
    <t xml:space="preserve">Peptoniphilus__ivorii</t>
  </si>
  <si>
    <t xml:space="preserve">Sphingopyxis__sp.__EG6</t>
  </si>
  <si>
    <t xml:space="preserve">Veillonella__dispar</t>
  </si>
  <si>
    <t xml:space="preserve">Streptococcus__gwangjuense</t>
  </si>
  <si>
    <t xml:space="preserve">Moraxella__osloensis</t>
  </si>
  <si>
    <t xml:space="preserve">Gemella__morbillorum</t>
  </si>
  <si>
    <t xml:space="preserve">Sphingomonas__sp.__R1</t>
  </si>
  <si>
    <t xml:space="preserve">Ureibacillus__sp.__FSL__K6-0786</t>
  </si>
  <si>
    <t xml:space="preserve">Blautia__wexlerae</t>
  </si>
  <si>
    <t xml:space="preserve">Staphylococcus__warneri</t>
  </si>
  <si>
    <t xml:space="preserve">Observed</t>
  </si>
  <si>
    <t xml:space="preserve">LP1 - LP2</t>
  </si>
  <si>
    <t xml:space="preserve">BENCH - HOOD</t>
  </si>
  <si>
    <t xml:space="preserve">Wrench w.r.t LP + bray</t>
  </si>
  <si>
    <t xml:space="preserve">rarefaction + bray</t>
  </si>
  <si>
    <t xml:space="preserve">Clr + euclidean</t>
  </si>
  <si>
    <t xml:space="preserve">Variance</t>
  </si>
  <si>
    <t xml:space="preserve">Direction</t>
  </si>
  <si>
    <t xml:space="preserve">LP2</t>
  </si>
  <si>
    <t xml:space="preserve">LP1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</si>
</sst>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1" t="s">
        <v>1</v>
      </c>
      <c r="C2" s="1" t="s">
        <v>2</v>
      </c>
      <c r="D2" s="1" t="s">
        <v>3</v>
      </c>
    </row>
    <row r="3" customFormat="false" ht="12.8" hidden="false" customHeight="false" outlineLevel="0" collapsed="false">
      <c r="A3" s="1" t="s">
        <v>1</v>
      </c>
      <c r="C3" s="1" t="n">
        <v>0.001</v>
      </c>
      <c r="D3" s="1" t="n">
        <v>0.002</v>
      </c>
    </row>
    <row r="4" customFormat="false" ht="12.8" hidden="false" customHeight="false" outlineLevel="0" collapsed="false">
      <c r="A4" s="1" t="s">
        <v>2</v>
      </c>
      <c r="D4" s="1" t="n">
        <v>0.005</v>
      </c>
    </row>
    <row r="6" customFormat="false" ht="12.8" hidden="false" customHeight="false" outlineLevel="0" collapsed="false">
      <c r="A6" s="1" t="s">
        <v>4</v>
      </c>
    </row>
    <row r="7" customFormat="false" ht="12.8" hidden="false" customHeight="false" outlineLevel="0" collapsed="false">
      <c r="B7" s="1" t="s">
        <v>1</v>
      </c>
      <c r="C7" s="1" t="s">
        <v>2</v>
      </c>
      <c r="D7" s="1" t="s">
        <v>3</v>
      </c>
    </row>
    <row r="8" customFormat="false" ht="12.8" hidden="false" customHeight="false" outlineLevel="0" collapsed="false">
      <c r="A8" s="1" t="s">
        <v>1</v>
      </c>
      <c r="C8" s="1" t="n">
        <v>0.0001</v>
      </c>
      <c r="D8" s="2" t="n">
        <v>0.0013</v>
      </c>
    </row>
    <row r="9" customFormat="false" ht="12.8" hidden="false" customHeight="false" outlineLevel="0" collapsed="false">
      <c r="A9" s="1" t="s">
        <v>2</v>
      </c>
      <c r="D9" s="1" t="n">
        <v>0.91</v>
      </c>
    </row>
    <row r="13" customFormat="false" ht="12.8" hidden="false" customHeight="false" outlineLevel="0" collapsed="false">
      <c r="A13" s="1" t="s">
        <v>5</v>
      </c>
    </row>
    <row r="14" customFormat="false" ht="12.8" hidden="false" customHeight="false" outlineLevel="0" collapsed="false">
      <c r="A14" s="1" t="s">
        <v>6</v>
      </c>
      <c r="B14" s="1" t="s">
        <v>7</v>
      </c>
      <c r="C14" s="1" t="s">
        <v>8</v>
      </c>
      <c r="D14" s="1" t="s">
        <v>9</v>
      </c>
      <c r="E14" s="1" t="s">
        <v>10</v>
      </c>
    </row>
    <row r="15" customFormat="false" ht="12.8" hidden="false" customHeight="false" outlineLevel="0" collapsed="false">
      <c r="A15" s="1" t="s">
        <v>1</v>
      </c>
      <c r="B15" s="1" t="s">
        <v>2</v>
      </c>
      <c r="C15" s="3" t="n">
        <v>0.0001</v>
      </c>
      <c r="D15" s="1" t="n">
        <v>4.441818</v>
      </c>
      <c r="E15" s="1" t="n">
        <v>0.01373728</v>
      </c>
    </row>
    <row r="16" customFormat="false" ht="12.8" hidden="false" customHeight="false" outlineLevel="0" collapsed="false">
      <c r="A16" s="1" t="s">
        <v>1</v>
      </c>
      <c r="B16" s="1" t="s">
        <v>3</v>
      </c>
      <c r="C16" s="1" t="n">
        <v>0.0012</v>
      </c>
      <c r="D16" s="1" t="n">
        <v>2.382588</v>
      </c>
      <c r="E16" s="1" t="n">
        <v>0.00897745</v>
      </c>
    </row>
    <row r="17" customFormat="false" ht="12.8" hidden="false" customHeight="false" outlineLevel="0" collapsed="false">
      <c r="A17" s="1" t="s">
        <v>2</v>
      </c>
      <c r="B17" s="1" t="s">
        <v>3</v>
      </c>
      <c r="C17" s="3" t="n">
        <v>0.0002</v>
      </c>
      <c r="D17" s="1" t="n">
        <v>3.153203</v>
      </c>
      <c r="E17" s="1" t="n">
        <v>0.02541635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6" activeCellId="0" sqref="K3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11</v>
      </c>
      <c r="B1" s="1" t="s">
        <v>12</v>
      </c>
    </row>
    <row r="3" customFormat="false" ht="12.8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</row>
    <row r="4" customFormat="false" ht="12.8" hidden="false" customHeight="false" outlineLevel="0" collapsed="false">
      <c r="A4" s="1" t="s">
        <v>22</v>
      </c>
      <c r="B4" s="1" t="s">
        <v>23</v>
      </c>
      <c r="C4" s="1" t="n">
        <v>2</v>
      </c>
      <c r="D4" s="1" t="n">
        <v>2.03554842627889</v>
      </c>
      <c r="E4" s="1" t="n">
        <v>0.0484484464833779</v>
      </c>
      <c r="F4" s="1" t="n">
        <v>16</v>
      </c>
      <c r="G4" s="1" t="n">
        <v>16</v>
      </c>
      <c r="H4" s="3" t="n">
        <v>2.8425181253039E-015</v>
      </c>
      <c r="I4" s="3" t="n">
        <v>1.97270757896091E-012</v>
      </c>
    </row>
    <row r="5" customFormat="false" ht="12.8" hidden="false" customHeight="false" outlineLevel="0" collapsed="false">
      <c r="A5" s="1" t="s">
        <v>24</v>
      </c>
      <c r="B5" s="1" t="s">
        <v>23</v>
      </c>
      <c r="C5" s="1" t="n">
        <v>2</v>
      </c>
      <c r="D5" s="1" t="n">
        <v>0.921662350544331</v>
      </c>
      <c r="E5" s="1" t="n">
        <v>0.04966790469928</v>
      </c>
      <c r="F5" s="1" t="n">
        <v>16</v>
      </c>
      <c r="G5" s="1" t="n">
        <v>16</v>
      </c>
      <c r="H5" s="3" t="n">
        <v>9.75342765932603E-011</v>
      </c>
      <c r="I5" s="3" t="n">
        <v>3.38443939778613E-008</v>
      </c>
    </row>
    <row r="6" customFormat="false" ht="12.8" hidden="false" customHeight="false" outlineLevel="0" collapsed="false">
      <c r="A6" s="1" t="s">
        <v>25</v>
      </c>
      <c r="B6" s="1" t="s">
        <v>23</v>
      </c>
      <c r="C6" s="1" t="n">
        <v>2</v>
      </c>
      <c r="D6" s="1" t="n">
        <v>-3.39149279705819</v>
      </c>
      <c r="E6" s="1" t="n">
        <v>0.229769364882277</v>
      </c>
      <c r="F6" s="1" t="n">
        <v>16</v>
      </c>
      <c r="G6" s="1" t="n">
        <v>10</v>
      </c>
      <c r="H6" s="3" t="n">
        <v>1.68360045972696E-009</v>
      </c>
      <c r="I6" s="3" t="n">
        <v>3.89472906350169E-007</v>
      </c>
    </row>
    <row r="7" customFormat="false" ht="12.8" hidden="false" customHeight="false" outlineLevel="0" collapsed="false">
      <c r="A7" s="1" t="s">
        <v>26</v>
      </c>
      <c r="B7" s="1" t="s">
        <v>23</v>
      </c>
      <c r="C7" s="1" t="n">
        <v>2</v>
      </c>
      <c r="D7" s="1" t="n">
        <v>-3.19580343854298</v>
      </c>
      <c r="E7" s="1" t="n">
        <v>0.259171310279819</v>
      </c>
      <c r="F7" s="1" t="n">
        <v>16</v>
      </c>
      <c r="G7" s="1" t="n">
        <v>16</v>
      </c>
      <c r="H7" s="3" t="n">
        <v>1.50704184527379E-008</v>
      </c>
      <c r="I7" s="3" t="n">
        <v>2.61471760155002E-006</v>
      </c>
    </row>
    <row r="8" customFormat="false" ht="12.8" hidden="false" customHeight="false" outlineLevel="0" collapsed="false">
      <c r="A8" s="1" t="s">
        <v>27</v>
      </c>
      <c r="B8" s="1" t="s">
        <v>23</v>
      </c>
      <c r="C8" s="1" t="n">
        <v>2</v>
      </c>
      <c r="D8" s="1" t="n">
        <v>-0.766436200678925</v>
      </c>
      <c r="E8" s="1" t="n">
        <v>0.073616086818163</v>
      </c>
      <c r="F8" s="1" t="n">
        <v>16</v>
      </c>
      <c r="G8" s="1" t="n">
        <v>16</v>
      </c>
      <c r="H8" s="3" t="n">
        <v>1.12498913563331E-007</v>
      </c>
      <c r="I8" s="3" t="n">
        <v>1.1893786371499E-005</v>
      </c>
    </row>
    <row r="9" customFormat="false" ht="12.8" hidden="false" customHeight="false" outlineLevel="0" collapsed="false">
      <c r="A9" s="1" t="s">
        <v>28</v>
      </c>
      <c r="B9" s="1" t="s">
        <v>23</v>
      </c>
      <c r="C9" s="1" t="n">
        <v>2</v>
      </c>
      <c r="D9" s="1" t="n">
        <v>-0.639318485742424</v>
      </c>
      <c r="E9" s="1" t="n">
        <v>0.060556903589545</v>
      </c>
      <c r="F9" s="1" t="n">
        <v>16</v>
      </c>
      <c r="G9" s="1" t="n">
        <v>16</v>
      </c>
      <c r="H9" s="3" t="n">
        <v>9.55576688732331E-008</v>
      </c>
      <c r="I9" s="3" t="n">
        <v>1.1893786371499E-005</v>
      </c>
    </row>
    <row r="10" customFormat="false" ht="12.8" hidden="false" customHeight="false" outlineLevel="0" collapsed="false">
      <c r="A10" s="1" t="s">
        <v>29</v>
      </c>
      <c r="B10" s="1" t="s">
        <v>23</v>
      </c>
      <c r="C10" s="1" t="n">
        <v>2</v>
      </c>
      <c r="D10" s="1" t="n">
        <v>3.81148972130375</v>
      </c>
      <c r="E10" s="1" t="n">
        <v>0.368110656289552</v>
      </c>
      <c r="F10" s="1" t="n">
        <v>16</v>
      </c>
      <c r="G10" s="1" t="n">
        <v>12</v>
      </c>
      <c r="H10" s="3" t="n">
        <v>1.19966144957483E-007</v>
      </c>
      <c r="I10" s="3" t="n">
        <v>1.1893786371499E-005</v>
      </c>
    </row>
    <row r="11" customFormat="false" ht="12.8" hidden="false" customHeight="false" outlineLevel="0" collapsed="false">
      <c r="A11" s="1" t="s">
        <v>30</v>
      </c>
      <c r="B11" s="1" t="s">
        <v>23</v>
      </c>
      <c r="C11" s="1" t="n">
        <v>2</v>
      </c>
      <c r="D11" s="1" t="n">
        <v>-2.12760594700637</v>
      </c>
      <c r="E11" s="1" t="n">
        <v>0.222488878043511</v>
      </c>
      <c r="F11" s="1" t="n">
        <v>16</v>
      </c>
      <c r="G11" s="1" t="n">
        <v>16</v>
      </c>
      <c r="H11" s="3" t="n">
        <v>3.01496379293157E-007</v>
      </c>
      <c r="I11" s="3" t="n">
        <v>2.61548109036814E-005</v>
      </c>
    </row>
    <row r="12" customFormat="false" ht="12.8" hidden="false" customHeight="false" outlineLevel="0" collapsed="false">
      <c r="A12" s="1" t="s">
        <v>31</v>
      </c>
      <c r="B12" s="1" t="s">
        <v>23</v>
      </c>
      <c r="C12" s="1" t="n">
        <v>2</v>
      </c>
      <c r="D12" s="1" t="n">
        <v>3.31815183132703</v>
      </c>
      <c r="E12" s="1" t="n">
        <v>0.362898101901437</v>
      </c>
      <c r="F12" s="1" t="n">
        <v>16</v>
      </c>
      <c r="G12" s="1" t="n">
        <v>13</v>
      </c>
      <c r="H12" s="3" t="n">
        <v>5.03256238863041E-007</v>
      </c>
      <c r="I12" s="3" t="n">
        <v>3.88066477523278E-005</v>
      </c>
    </row>
    <row r="13" customFormat="false" ht="12.8" hidden="false" customHeight="false" outlineLevel="0" collapsed="false">
      <c r="A13" s="1" t="s">
        <v>32</v>
      </c>
      <c r="B13" s="1" t="s">
        <v>23</v>
      </c>
      <c r="C13" s="1" t="n">
        <v>2</v>
      </c>
      <c r="D13" s="1" t="n">
        <v>-3.23165310923982</v>
      </c>
      <c r="E13" s="1" t="n">
        <v>0.358081616134054</v>
      </c>
      <c r="F13" s="1" t="n">
        <v>16</v>
      </c>
      <c r="G13" s="1" t="n">
        <v>11</v>
      </c>
      <c r="H13" s="3" t="n">
        <v>5.83595233433058E-007</v>
      </c>
      <c r="I13" s="3" t="n">
        <v>4.05015092002542E-005</v>
      </c>
    </row>
    <row r="14" customFormat="false" ht="12.8" hidden="false" customHeight="false" outlineLevel="0" collapsed="false">
      <c r="A14" s="1" t="s">
        <v>33</v>
      </c>
      <c r="B14" s="1" t="s">
        <v>23</v>
      </c>
      <c r="C14" s="1" t="n">
        <v>2</v>
      </c>
      <c r="D14" s="1" t="n">
        <v>2.42946874757561</v>
      </c>
      <c r="E14" s="1" t="n">
        <v>0.284012489662603</v>
      </c>
      <c r="F14" s="1" t="n">
        <v>16</v>
      </c>
      <c r="G14" s="1" t="n">
        <v>8</v>
      </c>
      <c r="H14" s="3" t="n">
        <v>1.06623421356753E-006</v>
      </c>
      <c r="I14" s="3" t="n">
        <v>6.72696858378063E-005</v>
      </c>
    </row>
    <row r="15" customFormat="false" ht="12.8" hidden="false" customHeight="false" outlineLevel="0" collapsed="false">
      <c r="A15" s="1" t="s">
        <v>34</v>
      </c>
      <c r="B15" s="1" t="s">
        <v>23</v>
      </c>
      <c r="C15" s="1" t="n">
        <v>2</v>
      </c>
      <c r="D15" s="1" t="n">
        <v>-2.57599012180562</v>
      </c>
      <c r="E15" s="1" t="n">
        <v>0.328749338087185</v>
      </c>
      <c r="F15" s="1" t="n">
        <v>16</v>
      </c>
      <c r="G15" s="1" t="n">
        <v>8</v>
      </c>
      <c r="H15" s="3" t="n">
        <v>2.80436277024324E-006</v>
      </c>
      <c r="I15" s="1" t="n">
        <v>0.000162185646879068</v>
      </c>
    </row>
    <row r="16" customFormat="false" ht="12.8" hidden="false" customHeight="false" outlineLevel="0" collapsed="false">
      <c r="A16" s="1" t="s">
        <v>35</v>
      </c>
      <c r="B16" s="1" t="s">
        <v>23</v>
      </c>
      <c r="C16" s="1" t="n">
        <v>2</v>
      </c>
      <c r="D16" s="1" t="n">
        <v>-2.51953877383423</v>
      </c>
      <c r="E16" s="1" t="n">
        <v>0.36215788996766</v>
      </c>
      <c r="F16" s="1" t="n">
        <v>16</v>
      </c>
      <c r="G16" s="1" t="n">
        <v>15</v>
      </c>
      <c r="H16" s="3" t="n">
        <v>9.96146072419514E-006</v>
      </c>
      <c r="I16" s="1" t="n">
        <v>0.00053178874943011</v>
      </c>
    </row>
    <row r="17" customFormat="false" ht="12.8" hidden="false" customHeight="false" outlineLevel="0" collapsed="false">
      <c r="A17" s="1" t="s">
        <v>36</v>
      </c>
      <c r="B17" s="1" t="s">
        <v>23</v>
      </c>
      <c r="C17" s="1" t="n">
        <v>2</v>
      </c>
      <c r="D17" s="1" t="n">
        <v>-3.0323154717027</v>
      </c>
      <c r="E17" s="1" t="n">
        <v>0.492245732122077</v>
      </c>
      <c r="F17" s="1" t="n">
        <v>16</v>
      </c>
      <c r="G17" s="1" t="n">
        <v>9</v>
      </c>
      <c r="H17" s="3" t="n">
        <v>3.43122543349245E-005</v>
      </c>
      <c r="I17" s="1" t="n">
        <v>0.0017009074648884</v>
      </c>
    </row>
    <row r="18" customFormat="false" ht="12.8" hidden="false" customHeight="false" outlineLevel="0" collapsed="false">
      <c r="A18" s="1" t="s">
        <v>37</v>
      </c>
      <c r="B18" s="1" t="s">
        <v>23</v>
      </c>
      <c r="C18" s="1" t="n">
        <v>2</v>
      </c>
      <c r="D18" s="1" t="n">
        <v>-2.41745356288511</v>
      </c>
      <c r="E18" s="1" t="n">
        <v>0.399836526035275</v>
      </c>
      <c r="F18" s="1" t="n">
        <v>16</v>
      </c>
      <c r="G18" s="1" t="n">
        <v>16</v>
      </c>
      <c r="H18" s="3" t="n">
        <v>4.12497516120456E-005</v>
      </c>
      <c r="I18" s="1" t="n">
        <v>0.00190848850791731</v>
      </c>
    </row>
    <row r="19" customFormat="false" ht="12.8" hidden="false" customHeight="false" outlineLevel="0" collapsed="false">
      <c r="A19" s="1" t="s">
        <v>38</v>
      </c>
      <c r="B19" s="1" t="s">
        <v>23</v>
      </c>
      <c r="C19" s="1" t="n">
        <v>2</v>
      </c>
      <c r="D19" s="1" t="n">
        <v>-2.02073689695941</v>
      </c>
      <c r="E19" s="1" t="n">
        <v>0.340396650164552</v>
      </c>
      <c r="F19" s="1" t="n">
        <v>16</v>
      </c>
      <c r="G19" s="1" t="n">
        <v>13</v>
      </c>
      <c r="H19" s="3" t="n">
        <v>4.93250495451147E-005</v>
      </c>
      <c r="I19" s="1" t="n">
        <v>0.00213947402401935</v>
      </c>
    </row>
    <row r="20" customFormat="false" ht="12.8" hidden="false" customHeight="false" outlineLevel="0" collapsed="false">
      <c r="A20" s="1" t="s">
        <v>39</v>
      </c>
      <c r="B20" s="1" t="s">
        <v>23</v>
      </c>
      <c r="C20" s="1" t="n">
        <v>2</v>
      </c>
      <c r="D20" s="1" t="n">
        <v>2.24473644610638</v>
      </c>
      <c r="E20" s="1" t="n">
        <v>0.410837990224907</v>
      </c>
      <c r="F20" s="1" t="n">
        <v>16</v>
      </c>
      <c r="G20" s="1" t="n">
        <v>16</v>
      </c>
      <c r="H20" s="1" t="n">
        <v>0.000108635079484598</v>
      </c>
      <c r="I20" s="1" t="n">
        <v>0.00443486736248887</v>
      </c>
    </row>
    <row r="21" customFormat="false" ht="12.8" hidden="false" customHeight="false" outlineLevel="0" collapsed="false">
      <c r="A21" s="1" t="s">
        <v>40</v>
      </c>
      <c r="B21" s="1" t="s">
        <v>23</v>
      </c>
      <c r="C21" s="1" t="n">
        <v>2</v>
      </c>
      <c r="D21" s="1" t="n">
        <v>-0.993687874926557</v>
      </c>
      <c r="E21" s="1" t="n">
        <v>0.185882084098689</v>
      </c>
      <c r="F21" s="1" t="n">
        <v>16</v>
      </c>
      <c r="G21" s="1" t="n">
        <v>16</v>
      </c>
      <c r="H21" s="1" t="n">
        <v>0.000132951123147912</v>
      </c>
      <c r="I21" s="1" t="n">
        <v>0.00512600441470282</v>
      </c>
    </row>
    <row r="22" customFormat="false" ht="12.8" hidden="false" customHeight="false" outlineLevel="0" collapsed="false">
      <c r="A22" s="1" t="s">
        <v>41</v>
      </c>
      <c r="B22" s="1" t="s">
        <v>23</v>
      </c>
      <c r="C22" s="1" t="n">
        <v>2</v>
      </c>
      <c r="D22" s="1" t="n">
        <v>-0.987254843069378</v>
      </c>
      <c r="E22" s="1" t="n">
        <v>0.19247654304813</v>
      </c>
      <c r="F22" s="1" t="n">
        <v>16</v>
      </c>
      <c r="G22" s="1" t="n">
        <v>16</v>
      </c>
      <c r="H22" s="1" t="n">
        <v>0.000193577696755945</v>
      </c>
      <c r="I22" s="1" t="n">
        <v>0.00707068008150661</v>
      </c>
    </row>
    <row r="23" customFormat="false" ht="12.8" hidden="false" customHeight="false" outlineLevel="0" collapsed="false">
      <c r="A23" s="1" t="s">
        <v>42</v>
      </c>
      <c r="B23" s="1" t="s">
        <v>23</v>
      </c>
      <c r="C23" s="1" t="n">
        <v>2</v>
      </c>
      <c r="D23" s="1" t="n">
        <v>2.3219097547748</v>
      </c>
      <c r="E23" s="1" t="n">
        <v>0.455300453731415</v>
      </c>
      <c r="F23" s="1" t="n">
        <v>16</v>
      </c>
      <c r="G23" s="1" t="n">
        <v>9</v>
      </c>
      <c r="H23" s="1" t="n">
        <v>0.000203839119998027</v>
      </c>
      <c r="I23" s="1" t="n">
        <v>0.00707321746393155</v>
      </c>
    </row>
    <row r="24" customFormat="false" ht="12.8" hidden="false" customHeight="false" outlineLevel="0" collapsed="false">
      <c r="A24" s="1" t="s">
        <v>43</v>
      </c>
      <c r="B24" s="1" t="s">
        <v>23</v>
      </c>
      <c r="C24" s="1" t="n">
        <v>2</v>
      </c>
      <c r="D24" s="1" t="n">
        <v>-1.80073789040321</v>
      </c>
      <c r="E24" s="1" t="n">
        <v>0.365280202410378</v>
      </c>
      <c r="F24" s="1" t="n">
        <v>16</v>
      </c>
      <c r="G24" s="1" t="n">
        <v>14</v>
      </c>
      <c r="H24" s="1" t="n">
        <v>0.000275153329553874</v>
      </c>
      <c r="I24" s="1" t="n">
        <v>0.00909316241478042</v>
      </c>
    </row>
    <row r="25" customFormat="false" ht="12.8" hidden="false" customHeight="false" outlineLevel="0" collapsed="false">
      <c r="A25" s="1" t="s">
        <v>44</v>
      </c>
      <c r="B25" s="1" t="s">
        <v>23</v>
      </c>
      <c r="C25" s="1" t="n">
        <v>2</v>
      </c>
      <c r="D25" s="1" t="n">
        <v>-1.71967153863296</v>
      </c>
      <c r="E25" s="1" t="n">
        <v>0.395637269791286</v>
      </c>
      <c r="F25" s="1" t="n">
        <v>16</v>
      </c>
      <c r="G25" s="1" t="n">
        <v>16</v>
      </c>
      <c r="H25" s="1" t="n">
        <v>0.000791975924484813</v>
      </c>
      <c r="I25" s="1" t="n">
        <v>0.0238970126779331</v>
      </c>
    </row>
    <row r="26" customFormat="false" ht="12.8" hidden="false" customHeight="false" outlineLevel="0" collapsed="false">
      <c r="A26" s="1" t="s">
        <v>45</v>
      </c>
      <c r="B26" s="1" t="s">
        <v>23</v>
      </c>
      <c r="C26" s="1" t="n">
        <v>2</v>
      </c>
      <c r="D26" s="1" t="n">
        <v>2.19418601391856</v>
      </c>
      <c r="E26" s="1" t="n">
        <v>0.503753385684628</v>
      </c>
      <c r="F26" s="1" t="n">
        <v>16</v>
      </c>
      <c r="G26" s="1" t="n">
        <v>10</v>
      </c>
      <c r="H26" s="1" t="n">
        <v>0.000778790606182561</v>
      </c>
      <c r="I26" s="1" t="n">
        <v>0.0238970126779331</v>
      </c>
    </row>
    <row r="27" customFormat="false" ht="12.8" hidden="false" customHeight="false" outlineLevel="0" collapsed="false">
      <c r="A27" s="1" t="s">
        <v>46</v>
      </c>
      <c r="B27" s="1" t="s">
        <v>23</v>
      </c>
      <c r="C27" s="1" t="n">
        <v>2</v>
      </c>
      <c r="D27" s="1" t="n">
        <v>2.39789340597254</v>
      </c>
      <c r="E27" s="1" t="n">
        <v>0.554667475288224</v>
      </c>
      <c r="F27" s="1" t="n">
        <v>16</v>
      </c>
      <c r="G27" s="1" t="n">
        <v>10</v>
      </c>
      <c r="H27" s="1" t="n">
        <v>0.00082709791841563</v>
      </c>
      <c r="I27" s="1" t="n">
        <v>0.0239169148075186</v>
      </c>
    </row>
    <row r="28" customFormat="false" ht="12.8" hidden="false" customHeight="false" outlineLevel="0" collapsed="false">
      <c r="A28" s="1" t="s">
        <v>47</v>
      </c>
      <c r="B28" s="1" t="s">
        <v>23</v>
      </c>
      <c r="C28" s="1" t="n">
        <v>2</v>
      </c>
      <c r="D28" s="1" t="n">
        <v>-1.71101019241411</v>
      </c>
      <c r="E28" s="1" t="n">
        <v>0.398285711611776</v>
      </c>
      <c r="F28" s="1" t="n">
        <v>16</v>
      </c>
      <c r="G28" s="1" t="n">
        <v>7</v>
      </c>
      <c r="H28" s="1" t="n">
        <v>0.000869796776477753</v>
      </c>
      <c r="I28" s="1" t="n">
        <v>0.0241455585150224</v>
      </c>
    </row>
    <row r="29" customFormat="false" ht="12.8" hidden="false" customHeight="false" outlineLevel="0" collapsed="false">
      <c r="A29" s="1" t="s">
        <v>48</v>
      </c>
      <c r="B29" s="1" t="s">
        <v>23</v>
      </c>
      <c r="C29" s="1" t="n">
        <v>2</v>
      </c>
      <c r="D29" s="1" t="n">
        <v>-1.93618920251031</v>
      </c>
      <c r="E29" s="1" t="n">
        <v>0.490643490005679</v>
      </c>
      <c r="F29" s="1" t="n">
        <v>16</v>
      </c>
      <c r="G29" s="1" t="n">
        <v>12</v>
      </c>
      <c r="H29" s="1" t="n">
        <v>0.00167342443445489</v>
      </c>
      <c r="I29" s="1" t="n">
        <v>0.0446675599042958</v>
      </c>
    </row>
    <row r="30" customFormat="false" ht="12.8" hidden="false" customHeight="false" outlineLevel="0" collapsed="false">
      <c r="A30" s="1" t="s">
        <v>49</v>
      </c>
      <c r="B30" s="1" t="s">
        <v>23</v>
      </c>
      <c r="C30" s="1" t="n">
        <v>2</v>
      </c>
      <c r="D30" s="1" t="n">
        <v>-2.01394607004982</v>
      </c>
      <c r="E30" s="1" t="n">
        <v>0.524313738180343</v>
      </c>
      <c r="F30" s="1" t="n">
        <v>16</v>
      </c>
      <c r="G30" s="1" t="n">
        <v>11</v>
      </c>
      <c r="H30" s="1" t="n">
        <v>0.0020416598537892</v>
      </c>
      <c r="I30" s="1" t="n">
        <v>0.0524782199455446</v>
      </c>
    </row>
    <row r="31" customFormat="false" ht="12.8" hidden="false" customHeight="false" outlineLevel="0" collapsed="false">
      <c r="A31" s="1" t="s">
        <v>50</v>
      </c>
      <c r="B31" s="1" t="s">
        <v>23</v>
      </c>
      <c r="C31" s="1" t="n">
        <v>2</v>
      </c>
      <c r="D31" s="1" t="n">
        <v>-1.39625442054529</v>
      </c>
      <c r="E31" s="1" t="n">
        <v>0.375890960985829</v>
      </c>
      <c r="F31" s="1" t="n">
        <v>16</v>
      </c>
      <c r="G31" s="1" t="n">
        <v>6</v>
      </c>
      <c r="H31" s="1" t="n">
        <v>0.00259716347489865</v>
      </c>
      <c r="I31" s="1" t="n">
        <v>0.0621528086751608</v>
      </c>
    </row>
    <row r="32" customFormat="false" ht="12.8" hidden="false" customHeight="false" outlineLevel="0" collapsed="false">
      <c r="A32" s="1" t="s">
        <v>51</v>
      </c>
      <c r="B32" s="1" t="s">
        <v>52</v>
      </c>
      <c r="C32" s="1" t="s">
        <v>53</v>
      </c>
      <c r="D32" s="1" t="n">
        <v>1.35559570707653</v>
      </c>
      <c r="E32" s="1" t="n">
        <v>0.363314406703929</v>
      </c>
      <c r="F32" s="1" t="n">
        <v>16</v>
      </c>
      <c r="G32" s="1" t="n">
        <v>6</v>
      </c>
      <c r="H32" s="1" t="n">
        <v>0.00251597369635755</v>
      </c>
      <c r="I32" s="1" t="n">
        <v>0.0621528086751608</v>
      </c>
    </row>
    <row r="33" customFormat="false" ht="12.8" hidden="false" customHeight="false" outlineLevel="0" collapsed="false">
      <c r="A33" s="1" t="s">
        <v>54</v>
      </c>
      <c r="B33" s="1" t="s">
        <v>23</v>
      </c>
      <c r="C33" s="1" t="n">
        <v>2</v>
      </c>
      <c r="D33" s="1" t="n">
        <v>-1.83614639249259</v>
      </c>
      <c r="E33" s="1" t="n">
        <v>0.515058309936583</v>
      </c>
      <c r="F33" s="1" t="n">
        <v>16</v>
      </c>
      <c r="G33" s="1" t="n">
        <v>11</v>
      </c>
      <c r="H33" s="1" t="n">
        <v>0.00345618638905371</v>
      </c>
      <c r="I33" s="1" t="n">
        <v>0.0799531118001092</v>
      </c>
    </row>
    <row r="34" customFormat="false" ht="12.8" hidden="false" customHeight="false" outlineLevel="0" collapsed="false">
      <c r="A34" s="1" t="s">
        <v>55</v>
      </c>
      <c r="B34" s="1" t="s">
        <v>23</v>
      </c>
      <c r="C34" s="1" t="n">
        <v>2</v>
      </c>
      <c r="D34" s="1" t="n">
        <v>-1.96288789470847</v>
      </c>
      <c r="E34" s="1" t="n">
        <v>0.554477744261172</v>
      </c>
      <c r="F34" s="1" t="n">
        <v>16</v>
      </c>
      <c r="G34" s="1" t="n">
        <v>15</v>
      </c>
      <c r="H34" s="1" t="n">
        <v>0.00362473044822178</v>
      </c>
      <c r="I34" s="1" t="n">
        <v>0.0811471913247069</v>
      </c>
    </row>
    <row r="35" customFormat="false" ht="12.8" hidden="false" customHeight="false" outlineLevel="0" collapsed="false">
      <c r="A35" s="1" t="s">
        <v>56</v>
      </c>
      <c r="B35" s="1" t="s">
        <v>23</v>
      </c>
      <c r="C35" s="1" t="n">
        <v>2</v>
      </c>
      <c r="D35" s="1" t="n">
        <v>-0.936056474798393</v>
      </c>
      <c r="E35" s="1" t="n">
        <v>0.267528669614118</v>
      </c>
      <c r="F35" s="1" t="n">
        <v>16</v>
      </c>
      <c r="G35" s="1" t="n">
        <v>16</v>
      </c>
      <c r="H35" s="1" t="n">
        <v>0.00392229915764647</v>
      </c>
      <c r="I35" s="1" t="n">
        <v>0.0850648629814579</v>
      </c>
    </row>
    <row r="36" customFormat="false" ht="12.8" hidden="false" customHeight="false" outlineLevel="0" collapsed="false">
      <c r="A36" s="1" t="s">
        <v>57</v>
      </c>
      <c r="B36" s="1" t="s">
        <v>23</v>
      </c>
      <c r="C36" s="1" t="n">
        <v>2</v>
      </c>
      <c r="D36" s="1" t="n">
        <v>-2.24452937024223</v>
      </c>
      <c r="E36" s="1" t="n">
        <v>0.655839525271536</v>
      </c>
      <c r="F36" s="1" t="n">
        <v>16</v>
      </c>
      <c r="G36" s="1" t="n">
        <v>12</v>
      </c>
      <c r="H36" s="1" t="n">
        <v>0.00454279742837481</v>
      </c>
      <c r="I36" s="1" t="n">
        <v>0.0927265122144741</v>
      </c>
    </row>
    <row r="37" customFormat="false" ht="12.8" hidden="false" customHeight="false" outlineLevel="0" collapsed="false">
      <c r="A37" s="1" t="s">
        <v>58</v>
      </c>
      <c r="B37" s="1" t="s">
        <v>23</v>
      </c>
      <c r="C37" s="1" t="n">
        <v>2</v>
      </c>
      <c r="D37" s="1" t="n">
        <v>-2.08494400619399</v>
      </c>
      <c r="E37" s="1" t="n">
        <v>0.607325441093099</v>
      </c>
      <c r="F37" s="1" t="n">
        <v>16</v>
      </c>
      <c r="G37" s="1" t="n">
        <v>10</v>
      </c>
      <c r="H37" s="1" t="n">
        <v>0.00445111007106133</v>
      </c>
      <c r="I37" s="1" t="n">
        <v>0.0927265122144741</v>
      </c>
    </row>
    <row r="38" customFormat="false" ht="12.8" hidden="false" customHeight="false" outlineLevel="0" collapsed="false">
      <c r="A38" s="1" t="s">
        <v>59</v>
      </c>
      <c r="B38" s="1" t="s">
        <v>23</v>
      </c>
      <c r="C38" s="1" t="n">
        <v>2</v>
      </c>
      <c r="D38" s="1" t="n">
        <v>-0.720815038708019</v>
      </c>
      <c r="E38" s="1" t="n">
        <v>0.221287284209553</v>
      </c>
      <c r="F38" s="1" t="n">
        <v>16</v>
      </c>
      <c r="G38" s="1" t="n">
        <v>5</v>
      </c>
      <c r="H38" s="1" t="n">
        <v>0.00623907600453591</v>
      </c>
      <c r="I38" s="1" t="n">
        <v>0.123711964204226</v>
      </c>
    </row>
    <row r="39" customFormat="false" ht="12.8" hidden="false" customHeight="false" outlineLevel="0" collapsed="false">
      <c r="A39" s="1" t="s">
        <v>30</v>
      </c>
      <c r="B39" s="1" t="s">
        <v>52</v>
      </c>
      <c r="C39" s="1" t="s">
        <v>53</v>
      </c>
      <c r="D39" s="1" t="n">
        <v>-0.718534099614428</v>
      </c>
      <c r="E39" s="1" t="n">
        <v>0.222488878043511</v>
      </c>
      <c r="F39" s="1" t="n">
        <v>16</v>
      </c>
      <c r="G39" s="1" t="n">
        <v>16</v>
      </c>
      <c r="H39" s="1" t="n">
        <v>0.00658257502857799</v>
      </c>
      <c r="I39" s="1" t="n">
        <v>0.126897418606476</v>
      </c>
    </row>
    <row r="40" customFormat="false" ht="12.8" hidden="false" customHeight="false" outlineLevel="0" collapsed="false">
      <c r="A40" s="1" t="s">
        <v>60</v>
      </c>
      <c r="B40" s="1" t="s">
        <v>52</v>
      </c>
      <c r="C40" s="1" t="s">
        <v>53</v>
      </c>
      <c r="D40" s="1" t="n">
        <v>1.34171864553419</v>
      </c>
      <c r="E40" s="1" t="n">
        <v>0.433458259668638</v>
      </c>
      <c r="F40" s="1" t="n">
        <v>16</v>
      </c>
      <c r="G40" s="1" t="n">
        <v>15</v>
      </c>
      <c r="H40" s="1" t="n">
        <v>0.00852219630535607</v>
      </c>
      <c r="I40" s="1" t="n">
        <v>0.15833159416758</v>
      </c>
    </row>
    <row r="41" customFormat="false" ht="12.8" hidden="false" customHeight="false" outlineLevel="0" collapsed="false">
      <c r="A41" s="1" t="s">
        <v>60</v>
      </c>
      <c r="B41" s="1" t="s">
        <v>23</v>
      </c>
      <c r="C41" s="1" t="n">
        <v>2</v>
      </c>
      <c r="D41" s="1" t="n">
        <v>-1.33786063262112</v>
      </c>
      <c r="E41" s="1" t="n">
        <v>0.433458259668638</v>
      </c>
      <c r="F41" s="1" t="n">
        <v>16</v>
      </c>
      <c r="G41" s="1" t="n">
        <v>15</v>
      </c>
      <c r="H41" s="1" t="n">
        <v>0.00866945328295105</v>
      </c>
      <c r="I41" s="1" t="n">
        <v>0.15833159416758</v>
      </c>
    </row>
    <row r="42" customFormat="false" ht="12.8" hidden="false" customHeight="false" outlineLevel="0" collapsed="false">
      <c r="A42" s="1" t="s">
        <v>35</v>
      </c>
      <c r="B42" s="1" t="s">
        <v>52</v>
      </c>
      <c r="C42" s="1" t="s">
        <v>53</v>
      </c>
      <c r="D42" s="1" t="n">
        <v>1.11140371218556</v>
      </c>
      <c r="E42" s="1" t="n">
        <v>0.36215788996766</v>
      </c>
      <c r="F42" s="1" t="n">
        <v>16</v>
      </c>
      <c r="G42" s="1" t="n">
        <v>15</v>
      </c>
      <c r="H42" s="1" t="n">
        <v>0.00896889467960536</v>
      </c>
      <c r="I42" s="1" t="n">
        <v>0.159600330965285</v>
      </c>
    </row>
    <row r="43" customFormat="false" ht="12.8" hidden="false" customHeight="false" outlineLevel="0" collapsed="false">
      <c r="A43" s="1" t="s">
        <v>61</v>
      </c>
      <c r="B43" s="1" t="s">
        <v>52</v>
      </c>
      <c r="C43" s="1" t="s">
        <v>53</v>
      </c>
      <c r="D43" s="1" t="n">
        <v>1.39602112990679</v>
      </c>
      <c r="E43" s="1" t="n">
        <v>0.464541021261391</v>
      </c>
      <c r="F43" s="1" t="n">
        <v>16</v>
      </c>
      <c r="G43" s="1" t="n">
        <v>9</v>
      </c>
      <c r="H43" s="1" t="n">
        <v>0.0101377538077072</v>
      </c>
      <c r="I43" s="1" t="n">
        <v>0.175890028563719</v>
      </c>
    </row>
    <row r="44" customFormat="false" ht="12.8" hidden="false" customHeight="false" outlineLevel="0" collapsed="false">
      <c r="A44" s="1" t="s">
        <v>25</v>
      </c>
      <c r="B44" s="1" t="s">
        <v>52</v>
      </c>
      <c r="C44" s="1" t="s">
        <v>53</v>
      </c>
      <c r="D44" s="1" t="n">
        <v>0.679803786780401</v>
      </c>
      <c r="E44" s="1" t="n">
        <v>0.229769364882277</v>
      </c>
      <c r="F44" s="1" t="n">
        <v>16</v>
      </c>
      <c r="G44" s="1" t="n">
        <v>10</v>
      </c>
      <c r="H44" s="1" t="n">
        <v>0.0110863499796314</v>
      </c>
      <c r="I44" s="1" t="n">
        <v>0.18765675331376</v>
      </c>
    </row>
    <row r="45" customFormat="false" ht="12.8" hidden="false" customHeight="false" outlineLevel="0" collapsed="false">
      <c r="A45" s="1" t="s">
        <v>61</v>
      </c>
      <c r="B45" s="1" t="s">
        <v>23</v>
      </c>
      <c r="C45" s="1" t="n">
        <v>2</v>
      </c>
      <c r="D45" s="1" t="n">
        <v>-1.31576128662261</v>
      </c>
      <c r="E45" s="1" t="n">
        <v>0.464541021261391</v>
      </c>
      <c r="F45" s="1" t="n">
        <v>16</v>
      </c>
      <c r="G45" s="1" t="n">
        <v>9</v>
      </c>
      <c r="H45" s="1" t="n">
        <v>0.014125759946708</v>
      </c>
      <c r="I45" s="1" t="n">
        <v>0.218922963927496</v>
      </c>
    </row>
    <row r="46" customFormat="false" ht="12.8" hidden="false" customHeight="false" outlineLevel="0" collapsed="false">
      <c r="A46" s="1" t="s">
        <v>62</v>
      </c>
      <c r="B46" s="1" t="s">
        <v>52</v>
      </c>
      <c r="C46" s="1" t="s">
        <v>53</v>
      </c>
      <c r="D46" s="1" t="n">
        <v>0.973331127663267</v>
      </c>
      <c r="E46" s="1" t="n">
        <v>0.345105578323946</v>
      </c>
      <c r="F46" s="1" t="n">
        <v>16</v>
      </c>
      <c r="G46" s="1" t="n">
        <v>16</v>
      </c>
      <c r="H46" s="1" t="n">
        <v>0.0144543431101864</v>
      </c>
      <c r="I46" s="1" t="n">
        <v>0.218922963927496</v>
      </c>
    </row>
    <row r="47" customFormat="false" ht="12.8" hidden="false" customHeight="false" outlineLevel="0" collapsed="false">
      <c r="A47" s="1" t="s">
        <v>63</v>
      </c>
      <c r="B47" s="1" t="s">
        <v>23</v>
      </c>
      <c r="C47" s="1" t="n">
        <v>2</v>
      </c>
      <c r="D47" s="1" t="n">
        <v>-1.51318607754027</v>
      </c>
      <c r="E47" s="1" t="n">
        <v>0.539052445113134</v>
      </c>
      <c r="F47" s="1" t="n">
        <v>16</v>
      </c>
      <c r="G47" s="1" t="n">
        <v>14</v>
      </c>
      <c r="H47" s="1" t="n">
        <v>0.0148261949633895</v>
      </c>
      <c r="I47" s="1" t="n">
        <v>0.218922963927496</v>
      </c>
    </row>
    <row r="48" customFormat="false" ht="12.8" hidden="false" customHeight="false" outlineLevel="0" collapsed="false">
      <c r="A48" s="1" t="s">
        <v>64</v>
      </c>
      <c r="B48" s="1" t="s">
        <v>23</v>
      </c>
      <c r="C48" s="1" t="n">
        <v>2</v>
      </c>
      <c r="D48" s="1" t="n">
        <v>-1.20853159056612</v>
      </c>
      <c r="E48" s="1" t="n">
        <v>0.42931390945019</v>
      </c>
      <c r="F48" s="1" t="n">
        <v>16</v>
      </c>
      <c r="G48" s="1" t="n">
        <v>8</v>
      </c>
      <c r="H48" s="1" t="n">
        <v>0.0146033869586554</v>
      </c>
      <c r="I48" s="1" t="n">
        <v>0.218922963927496</v>
      </c>
    </row>
    <row r="49" customFormat="false" ht="12.8" hidden="false" customHeight="false" outlineLevel="0" collapsed="false">
      <c r="A49" s="1" t="s">
        <v>65</v>
      </c>
      <c r="B49" s="1" t="s">
        <v>52</v>
      </c>
      <c r="C49" s="1" t="s">
        <v>53</v>
      </c>
      <c r="D49" s="1" t="n">
        <v>-0.979894953410964</v>
      </c>
      <c r="E49" s="1" t="n">
        <v>0.34297970725969</v>
      </c>
      <c r="F49" s="1" t="n">
        <v>16</v>
      </c>
      <c r="G49" s="1" t="n">
        <v>13</v>
      </c>
      <c r="H49" s="1" t="n">
        <v>0.0134747584507537</v>
      </c>
      <c r="I49" s="1" t="n">
        <v>0.218922963927496</v>
      </c>
    </row>
    <row r="50" customFormat="false" ht="12.8" hidden="false" customHeight="false" outlineLevel="0" collapsed="false">
      <c r="A50" s="1" t="s">
        <v>66</v>
      </c>
      <c r="B50" s="1" t="s">
        <v>23</v>
      </c>
      <c r="C50" s="1" t="n">
        <v>2</v>
      </c>
      <c r="D50" s="1" t="n">
        <v>-1.06337658595156</v>
      </c>
      <c r="E50" s="1" t="n">
        <v>0.373050595903728</v>
      </c>
      <c r="F50" s="1" t="n">
        <v>16</v>
      </c>
      <c r="G50" s="1" t="n">
        <v>5</v>
      </c>
      <c r="H50" s="1" t="n">
        <v>0.01364416866133</v>
      </c>
      <c r="I50" s="1" t="n">
        <v>0.218922963927496</v>
      </c>
    </row>
    <row r="51" customFormat="false" ht="12.8" hidden="false" customHeight="false" outlineLevel="0" collapsed="false">
      <c r="A51" s="1" t="s">
        <v>67</v>
      </c>
      <c r="B51" s="1" t="s">
        <v>23</v>
      </c>
      <c r="C51" s="1" t="n">
        <v>2</v>
      </c>
      <c r="D51" s="1" t="n">
        <v>1.48927655865968</v>
      </c>
      <c r="E51" s="1" t="n">
        <v>0.533886493383177</v>
      </c>
      <c r="F51" s="1" t="n">
        <v>16</v>
      </c>
      <c r="G51" s="1" t="n">
        <v>9</v>
      </c>
      <c r="H51" s="1" t="n">
        <v>0.0153347822032513</v>
      </c>
      <c r="I51" s="1" t="n">
        <v>0.221715392688675</v>
      </c>
    </row>
    <row r="52" customFormat="false" ht="12.8" hidden="false" customHeight="false" outlineLevel="0" collapsed="false">
      <c r="A52" s="1" t="s">
        <v>68</v>
      </c>
      <c r="B52" s="1" t="s">
        <v>23</v>
      </c>
      <c r="C52" s="1" t="n">
        <v>2</v>
      </c>
      <c r="D52" s="1" t="n">
        <v>1.79112794489095</v>
      </c>
      <c r="E52" s="1" t="n">
        <v>0.656500554469488</v>
      </c>
      <c r="F52" s="1" t="n">
        <v>16</v>
      </c>
      <c r="G52" s="1" t="n">
        <v>6</v>
      </c>
      <c r="H52" s="1" t="n">
        <v>0.0172377738082827</v>
      </c>
      <c r="I52" s="1" t="n">
        <v>0.244143163733637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customFormat="false" ht="12.8" hidden="false" customHeight="false" outlineLevel="0" collapsed="false">
      <c r="A2" s="1" t="s">
        <v>69</v>
      </c>
      <c r="B2" s="1" t="s">
        <v>74</v>
      </c>
      <c r="C2" s="1" t="s">
        <v>75</v>
      </c>
      <c r="D2" s="1" t="s">
        <v>76</v>
      </c>
      <c r="E2" s="1" t="s">
        <v>76</v>
      </c>
      <c r="F2" s="1" t="s">
        <v>76</v>
      </c>
    </row>
    <row r="3" customFormat="false" ht="12.8" hidden="false" customHeight="false" outlineLevel="0" collapsed="false">
      <c r="A3" s="1" t="s">
        <v>70</v>
      </c>
      <c r="B3" s="1" t="s">
        <v>77</v>
      </c>
      <c r="C3" s="1" t="s">
        <v>74</v>
      </c>
      <c r="D3" s="1" t="s">
        <v>76</v>
      </c>
      <c r="E3" s="1" t="s">
        <v>76</v>
      </c>
      <c r="F3" s="1" t="s">
        <v>76</v>
      </c>
    </row>
    <row r="4" customFormat="false" ht="12.8" hidden="false" customHeight="false" outlineLevel="0" collapsed="false">
      <c r="A4" s="1" t="s">
        <v>71</v>
      </c>
      <c r="B4" s="1" t="s">
        <v>77</v>
      </c>
      <c r="C4" s="1" t="s">
        <v>77</v>
      </c>
      <c r="D4" s="1" t="s">
        <v>74</v>
      </c>
      <c r="E4" s="1" t="s">
        <v>77</v>
      </c>
      <c r="F4" s="1" t="s">
        <v>77</v>
      </c>
    </row>
    <row r="5" customFormat="false" ht="12.8" hidden="false" customHeight="false" outlineLevel="0" collapsed="false">
      <c r="A5" s="1" t="s">
        <v>72</v>
      </c>
      <c r="B5" s="1" t="s">
        <v>77</v>
      </c>
      <c r="C5" s="1" t="s">
        <v>77</v>
      </c>
      <c r="D5" s="1" t="s">
        <v>78</v>
      </c>
      <c r="E5" s="1" t="s">
        <v>74</v>
      </c>
      <c r="F5" s="1" t="s">
        <v>76</v>
      </c>
    </row>
    <row r="6" customFormat="false" ht="12.8" hidden="false" customHeight="false" outlineLevel="0" collapsed="false">
      <c r="A6" s="1" t="s">
        <v>73</v>
      </c>
      <c r="B6" s="1" t="s">
        <v>77</v>
      </c>
      <c r="C6" s="1" t="s">
        <v>77</v>
      </c>
      <c r="D6" s="1" t="s">
        <v>78</v>
      </c>
      <c r="E6" s="1" t="s">
        <v>77</v>
      </c>
      <c r="F6" s="1" t="s">
        <v>74</v>
      </c>
    </row>
    <row r="8" customFormat="false" ht="12.8" hidden="false" customHeight="false" outlineLevel="0" collapsed="false">
      <c r="A8" s="1" t="s">
        <v>79</v>
      </c>
    </row>
    <row r="9" customFormat="false" ht="12.8" hidden="false" customHeight="false" outlineLevel="0" collapsed="false">
      <c r="A9" s="1" t="s">
        <v>80</v>
      </c>
    </row>
    <row r="10" customFormat="false" ht="12.8" hidden="false" customHeight="false" outlineLevel="0" collapsed="false">
      <c r="A10" s="1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customFormat="false" ht="12.8" hidden="false" customHeight="false" outlineLevel="0" collapsed="false">
      <c r="A2" s="1" t="s">
        <v>69</v>
      </c>
      <c r="B2" s="1" t="s">
        <v>74</v>
      </c>
      <c r="C2" s="1" t="s">
        <v>82</v>
      </c>
      <c r="D2" s="1" t="s">
        <v>83</v>
      </c>
      <c r="E2" s="1" t="s">
        <v>82</v>
      </c>
      <c r="F2" s="1" t="s">
        <v>82</v>
      </c>
    </row>
    <row r="3" customFormat="false" ht="12.8" hidden="false" customHeight="false" outlineLevel="0" collapsed="false">
      <c r="A3" s="1" t="s">
        <v>70</v>
      </c>
      <c r="B3" s="1" t="s">
        <v>77</v>
      </c>
      <c r="C3" s="1" t="s">
        <v>74</v>
      </c>
      <c r="D3" s="1" t="s">
        <v>84</v>
      </c>
      <c r="E3" s="1" t="s">
        <v>83</v>
      </c>
      <c r="F3" s="1" t="s">
        <v>82</v>
      </c>
    </row>
    <row r="4" customFormat="false" ht="12.8" hidden="false" customHeight="false" outlineLevel="0" collapsed="false">
      <c r="A4" s="1" t="s">
        <v>71</v>
      </c>
      <c r="B4" s="1" t="s">
        <v>77</v>
      </c>
      <c r="C4" s="1" t="s">
        <v>77</v>
      </c>
      <c r="D4" s="1" t="s">
        <v>74</v>
      </c>
      <c r="E4" s="1" t="s">
        <v>82</v>
      </c>
      <c r="F4" s="1" t="s">
        <v>82</v>
      </c>
    </row>
    <row r="5" customFormat="false" ht="12.8" hidden="false" customHeight="false" outlineLevel="0" collapsed="false">
      <c r="A5" s="1" t="s">
        <v>72</v>
      </c>
      <c r="B5" s="1" t="s">
        <v>77</v>
      </c>
      <c r="C5" s="1" t="s">
        <v>77</v>
      </c>
      <c r="D5" s="1" t="s">
        <v>77</v>
      </c>
      <c r="E5" s="1" t="s">
        <v>74</v>
      </c>
      <c r="F5" s="1" t="s">
        <v>82</v>
      </c>
    </row>
    <row r="6" customFormat="false" ht="12.8" hidden="false" customHeight="false" outlineLevel="0" collapsed="false">
      <c r="A6" s="1" t="s">
        <v>73</v>
      </c>
      <c r="B6" s="1" t="s">
        <v>77</v>
      </c>
      <c r="C6" s="1" t="s">
        <v>77</v>
      </c>
      <c r="D6" s="1" t="s">
        <v>77</v>
      </c>
      <c r="E6" s="1" t="s">
        <v>77</v>
      </c>
      <c r="F6" s="1" t="s">
        <v>74</v>
      </c>
    </row>
    <row r="8" customFormat="false" ht="12.8" hidden="false" customHeight="false" outlineLevel="0" collapsed="false">
      <c r="A8" s="1" t="s">
        <v>79</v>
      </c>
    </row>
    <row r="9" customFormat="false" ht="12.8" hidden="false" customHeight="false" outlineLevel="0" collapsed="false">
      <c r="A9" s="1" t="s">
        <v>85</v>
      </c>
    </row>
    <row r="10" customFormat="false" ht="12.8" hidden="false" customHeight="false" outlineLevel="0" collapsed="false">
      <c r="A10" s="1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H25" activeCellId="0" sqref="H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customFormat="false" ht="12.8" hidden="false" customHeight="false" outlineLevel="0" collapsed="false">
      <c r="A2" s="1" t="s">
        <v>69</v>
      </c>
      <c r="B2" s="1" t="s">
        <v>74</v>
      </c>
      <c r="C2" s="1" t="s">
        <v>87</v>
      </c>
      <c r="D2" s="1" t="s">
        <v>83</v>
      </c>
      <c r="E2" s="1" t="s">
        <v>87</v>
      </c>
      <c r="F2" s="1" t="s">
        <v>87</v>
      </c>
    </row>
    <row r="3" customFormat="false" ht="12.8" hidden="false" customHeight="false" outlineLevel="0" collapsed="false">
      <c r="A3" s="1" t="s">
        <v>70</v>
      </c>
      <c r="B3" s="1" t="s">
        <v>77</v>
      </c>
      <c r="C3" s="1" t="s">
        <v>74</v>
      </c>
      <c r="D3" s="1" t="s">
        <v>88</v>
      </c>
      <c r="E3" s="1" t="s">
        <v>89</v>
      </c>
      <c r="F3" s="1" t="s">
        <v>87</v>
      </c>
    </row>
    <row r="4" customFormat="false" ht="12.8" hidden="false" customHeight="false" outlineLevel="0" collapsed="false">
      <c r="A4" s="1" t="s">
        <v>71</v>
      </c>
      <c r="B4" s="1" t="s">
        <v>77</v>
      </c>
      <c r="C4" s="1" t="s">
        <v>77</v>
      </c>
      <c r="D4" s="1" t="s">
        <v>74</v>
      </c>
      <c r="E4" s="1" t="s">
        <v>90</v>
      </c>
      <c r="F4" s="1" t="s">
        <v>90</v>
      </c>
    </row>
    <row r="5" customFormat="false" ht="12.8" hidden="false" customHeight="false" outlineLevel="0" collapsed="false">
      <c r="A5" s="1" t="s">
        <v>72</v>
      </c>
      <c r="B5" s="1" t="s">
        <v>77</v>
      </c>
      <c r="C5" s="1" t="s">
        <v>77</v>
      </c>
      <c r="D5" s="1" t="s">
        <v>91</v>
      </c>
      <c r="E5" s="1" t="s">
        <v>74</v>
      </c>
      <c r="F5" s="1" t="s">
        <v>87</v>
      </c>
    </row>
    <row r="6" customFormat="false" ht="12.8" hidden="false" customHeight="false" outlineLevel="0" collapsed="false">
      <c r="A6" s="1" t="s">
        <v>73</v>
      </c>
      <c r="B6" s="1" t="s">
        <v>77</v>
      </c>
      <c r="C6" s="1" t="s">
        <v>77</v>
      </c>
      <c r="D6" s="1" t="s">
        <v>91</v>
      </c>
      <c r="E6" s="1" t="s">
        <v>77</v>
      </c>
      <c r="F6" s="1" t="s">
        <v>74</v>
      </c>
    </row>
    <row r="9" customFormat="false" ht="12.8" hidden="false" customHeight="false" outlineLevel="0" collapsed="false">
      <c r="A9" s="1" t="s">
        <v>79</v>
      </c>
    </row>
    <row r="10" customFormat="false" ht="12.8" hidden="false" customHeight="false" outlineLevel="0" collapsed="false">
      <c r="A10" s="1" t="s">
        <v>80</v>
      </c>
    </row>
    <row r="11" customFormat="false" ht="12.8" hidden="false" customHeight="false" outlineLevel="0" collapsed="false">
      <c r="A11" s="1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G73" activeCellId="0" sqref="G7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61"/>
    <col collapsed="false" customWidth="true" hidden="false" outlineLevel="0" max="2" min="2" style="1" width="11.73"/>
    <col collapsed="false" customWidth="true" hidden="false" outlineLevel="0" max="3" min="3" style="1" width="11.7"/>
    <col collapsed="false" customWidth="true" hidden="false" outlineLevel="0" max="4" min="4" style="1" width="20.22"/>
    <col collapsed="false" customWidth="true" hidden="false" outlineLevel="0" max="5" min="5" style="1" width="17.71"/>
    <col collapsed="false" customWidth="true" hidden="false" outlineLevel="0" max="6" min="6" style="1" width="11.7"/>
    <col collapsed="false" customWidth="true" hidden="false" outlineLevel="0" max="7" min="7" style="1" width="15.44"/>
    <col collapsed="false" customWidth="true" hidden="false" outlineLevel="0" max="8" min="8" style="1" width="20.49"/>
    <col collapsed="false" customWidth="true" hidden="false" outlineLevel="0" max="9" min="9" style="1" width="8.95"/>
    <col collapsed="false" customWidth="true" hidden="false" outlineLevel="0" max="10" min="10" style="1" width="20.49"/>
  </cols>
  <sheetData>
    <row r="1" customFormat="false" ht="12.8" hidden="false" customHeight="false" outlineLevel="0" collapsed="false">
      <c r="A1" s="1" t="s">
        <v>13</v>
      </c>
      <c r="B1" s="1" t="s">
        <v>15</v>
      </c>
      <c r="C1" s="1" t="s">
        <v>93</v>
      </c>
      <c r="D1" s="1" t="s">
        <v>16</v>
      </c>
      <c r="E1" s="1" t="s">
        <v>17</v>
      </c>
      <c r="F1" s="1" t="s">
        <v>20</v>
      </c>
      <c r="G1" s="1" t="s">
        <v>21</v>
      </c>
    </row>
    <row r="2" customFormat="false" ht="12.8" hidden="false" customHeight="false" outlineLevel="0" collapsed="false">
      <c r="A2" s="1" t="s">
        <v>94</v>
      </c>
      <c r="B2" s="1" t="s">
        <v>2</v>
      </c>
      <c r="C2" s="1" t="s">
        <v>3</v>
      </c>
      <c r="D2" s="1" t="n">
        <v>-4.9050539785522</v>
      </c>
      <c r="E2" s="1" t="n">
        <v>0.786503975822464</v>
      </c>
      <c r="F2" s="4" t="n">
        <v>3.39283429629275E-009</v>
      </c>
      <c r="G2" s="4" t="n">
        <v>3.72533205732944E-006</v>
      </c>
    </row>
    <row r="3" customFormat="false" ht="12.8" hidden="false" customHeight="false" outlineLevel="0" collapsed="false">
      <c r="A3" s="1" t="s">
        <v>95</v>
      </c>
      <c r="B3" s="1" t="s">
        <v>1</v>
      </c>
      <c r="C3" s="1" t="s">
        <v>3</v>
      </c>
      <c r="D3" s="1" t="n">
        <v>-5.56329747515928</v>
      </c>
      <c r="E3" s="1" t="n">
        <v>0.964231581977469</v>
      </c>
      <c r="F3" s="4" t="n">
        <v>3.64687332808195E-008</v>
      </c>
      <c r="G3" s="4" t="n">
        <v>2.66951127615599E-005</v>
      </c>
    </row>
    <row r="4" customFormat="false" ht="12.8" hidden="false" customHeight="false" outlineLevel="0" collapsed="false">
      <c r="A4" s="1" t="s">
        <v>96</v>
      </c>
      <c r="B4" s="1" t="s">
        <v>2</v>
      </c>
      <c r="C4" s="1" t="s">
        <v>3</v>
      </c>
      <c r="D4" s="1" t="n">
        <v>-4.56084427022361</v>
      </c>
      <c r="E4" s="1" t="n">
        <v>0.835817538041575</v>
      </c>
      <c r="F4" s="4" t="n">
        <v>1.67931346789704E-007</v>
      </c>
      <c r="G4" s="4" t="n">
        <v>8.15892572342362E-005</v>
      </c>
    </row>
    <row r="5" customFormat="false" ht="12.8" hidden="false" customHeight="false" outlineLevel="0" collapsed="false">
      <c r="A5" s="1" t="s">
        <v>97</v>
      </c>
      <c r="B5" s="1" t="s">
        <v>2</v>
      </c>
      <c r="C5" s="1" t="s">
        <v>3</v>
      </c>
      <c r="D5" s="1" t="n">
        <v>-4.75372784086671</v>
      </c>
      <c r="E5" s="1" t="n">
        <v>0.896735216169018</v>
      </c>
      <c r="F5" s="4" t="n">
        <v>3.51567170528461E-007</v>
      </c>
      <c r="G5" s="4" t="n">
        <v>0.000128673584413417</v>
      </c>
    </row>
    <row r="6" customFormat="false" ht="12.8" hidden="false" customHeight="false" outlineLevel="0" collapsed="false">
      <c r="A6" s="1" t="s">
        <v>95</v>
      </c>
      <c r="B6" s="1" t="s">
        <v>2</v>
      </c>
      <c r="C6" s="1" t="s">
        <v>3</v>
      </c>
      <c r="D6" s="1" t="n">
        <v>-5.28463755962494</v>
      </c>
      <c r="E6" s="1" t="n">
        <v>1.02194802316114</v>
      </c>
      <c r="F6" s="4" t="n">
        <v>6.44796255227413E-007</v>
      </c>
      <c r="G6" s="4" t="n">
        <v>0.000202281796639914</v>
      </c>
    </row>
    <row r="7" customFormat="false" ht="12.8" hidden="false" customHeight="false" outlineLevel="0" collapsed="false">
      <c r="A7" s="1" t="s">
        <v>98</v>
      </c>
      <c r="B7" s="1" t="s">
        <v>2</v>
      </c>
      <c r="C7" s="1" t="s">
        <v>3</v>
      </c>
      <c r="D7" s="1" t="n">
        <v>6.56086781873367</v>
      </c>
      <c r="E7" s="1" t="n">
        <v>1.32363152482426</v>
      </c>
      <c r="F7" s="4" t="n">
        <v>1.71500280314451E-006</v>
      </c>
      <c r="G7" s="4" t="n">
        <v>0.00041846068396726</v>
      </c>
    </row>
    <row r="8" customFormat="false" ht="12.8" hidden="false" customHeight="false" outlineLevel="0" collapsed="false">
      <c r="A8" s="1" t="s">
        <v>99</v>
      </c>
      <c r="B8" s="1" t="s">
        <v>2</v>
      </c>
      <c r="C8" s="1" t="s">
        <v>3</v>
      </c>
      <c r="D8" s="1" t="n">
        <v>5.13746941316587</v>
      </c>
      <c r="E8" s="1" t="n">
        <v>1.05363957209158</v>
      </c>
      <c r="F8" s="4" t="n">
        <v>2.46128522734467E-006</v>
      </c>
      <c r="G8" s="4" t="n">
        <v>0.00054049823592489</v>
      </c>
    </row>
    <row r="9" customFormat="false" ht="12.8" hidden="false" customHeight="false" outlineLevel="0" collapsed="false">
      <c r="A9" s="1" t="s">
        <v>100</v>
      </c>
      <c r="B9" s="1" t="s">
        <v>1</v>
      </c>
      <c r="C9" s="1" t="s">
        <v>3</v>
      </c>
      <c r="D9" s="1" t="n">
        <v>-2.47786848858277</v>
      </c>
      <c r="E9" s="1" t="n">
        <v>0.531189205122204</v>
      </c>
      <c r="F9" s="4" t="n">
        <v>6.20618455522186E-006</v>
      </c>
      <c r="G9" s="1" t="n">
        <v>0.0011357317736056</v>
      </c>
    </row>
    <row r="10" customFormat="false" ht="12.8" hidden="false" customHeight="false" outlineLevel="0" collapsed="false">
      <c r="A10" s="1" t="s">
        <v>101</v>
      </c>
      <c r="B10" s="1" t="s">
        <v>1</v>
      </c>
      <c r="C10" s="1" t="s">
        <v>3</v>
      </c>
      <c r="D10" s="1" t="n">
        <v>-2.88497332216669</v>
      </c>
      <c r="E10" s="1" t="n">
        <v>0.638584115776874</v>
      </c>
      <c r="F10" s="4" t="n">
        <v>1.1615869177872E-005</v>
      </c>
      <c r="G10" s="1" t="n">
        <v>0.00159427804466293</v>
      </c>
    </row>
    <row r="11" customFormat="false" ht="12.8" hidden="false" customHeight="false" outlineLevel="0" collapsed="false">
      <c r="A11" s="1" t="s">
        <v>102</v>
      </c>
      <c r="B11" s="1" t="s">
        <v>2</v>
      </c>
      <c r="C11" s="1" t="s">
        <v>3</v>
      </c>
      <c r="D11" s="1" t="n">
        <v>-4.19412821066948</v>
      </c>
      <c r="E11" s="1" t="n">
        <v>0.974432136896433</v>
      </c>
      <c r="F11" s="4" t="n">
        <v>2.81541901798542E-005</v>
      </c>
      <c r="G11" s="1" t="n">
        <v>0.00343481120194221</v>
      </c>
    </row>
    <row r="12" customFormat="false" ht="12.8" hidden="false" customHeight="false" outlineLevel="0" collapsed="false">
      <c r="A12" s="1" t="s">
        <v>103</v>
      </c>
      <c r="B12" s="1" t="s">
        <v>1</v>
      </c>
      <c r="C12" s="1" t="s">
        <v>3</v>
      </c>
      <c r="D12" s="1" t="n">
        <v>-4.01673921840746</v>
      </c>
      <c r="E12" s="1" t="n">
        <v>0.99128806508753</v>
      </c>
      <c r="F12" s="4" t="n">
        <v>7.69239483185696E-005</v>
      </c>
      <c r="G12" s="1" t="n">
        <v>0.00810604346861268</v>
      </c>
    </row>
    <row r="13" customFormat="false" ht="12.8" hidden="false" customHeight="false" outlineLevel="0" collapsed="false">
      <c r="A13" s="1" t="s">
        <v>104</v>
      </c>
      <c r="B13" s="1" t="s">
        <v>2</v>
      </c>
      <c r="C13" s="1" t="s">
        <v>3</v>
      </c>
      <c r="D13" s="1" t="n">
        <v>3.79420690691766</v>
      </c>
      <c r="E13" s="1" t="n">
        <v>0.936824840250557</v>
      </c>
      <c r="F13" s="4" t="n">
        <v>7.75168091260775E-005</v>
      </c>
      <c r="G13" s="1" t="n">
        <v>0.00810604346861268</v>
      </c>
    </row>
    <row r="14" customFormat="false" ht="12.8" hidden="false" customHeight="false" outlineLevel="0" collapsed="false">
      <c r="A14" s="1" t="s">
        <v>100</v>
      </c>
      <c r="B14" s="1" t="s">
        <v>2</v>
      </c>
      <c r="C14" s="1" t="s">
        <v>3</v>
      </c>
      <c r="D14" s="1" t="n">
        <v>-2.25899393788307</v>
      </c>
      <c r="E14" s="1" t="n">
        <v>0.562984835018461</v>
      </c>
      <c r="F14" s="4" t="n">
        <v>8.96854612476009E-005</v>
      </c>
      <c r="G14" s="1" t="n">
        <v>0.00895223967726053</v>
      </c>
    </row>
    <row r="15" customFormat="false" ht="12.8" hidden="false" customHeight="false" outlineLevel="0" collapsed="false">
      <c r="A15" s="1" t="s">
        <v>103</v>
      </c>
      <c r="B15" s="1" t="s">
        <v>2</v>
      </c>
      <c r="C15" s="1" t="s">
        <v>3</v>
      </c>
      <c r="D15" s="1" t="n">
        <v>-4.1382268791779</v>
      </c>
      <c r="E15" s="1" t="n">
        <v>1.05062403828534</v>
      </c>
      <c r="F15" s="4" t="n">
        <v>0.00011906752941758</v>
      </c>
      <c r="G15" s="1" t="n">
        <v>0.0106991564523797</v>
      </c>
    </row>
    <row r="16" customFormat="false" ht="12.8" hidden="false" customHeight="false" outlineLevel="0" collapsed="false">
      <c r="A16" s="1" t="s">
        <v>105</v>
      </c>
      <c r="B16" s="1" t="s">
        <v>2</v>
      </c>
      <c r="C16" s="1" t="s">
        <v>3</v>
      </c>
      <c r="D16" s="1" t="n">
        <v>-5.4693726487108</v>
      </c>
      <c r="E16" s="1" t="n">
        <v>1.39067994608586</v>
      </c>
      <c r="F16" s="4" t="n">
        <v>0.00012180278292782</v>
      </c>
      <c r="G16" s="1" t="n">
        <v>0.0106991564523797</v>
      </c>
    </row>
    <row r="17" customFormat="false" ht="12.8" hidden="false" customHeight="false" outlineLevel="0" collapsed="false">
      <c r="A17" s="1" t="s">
        <v>106</v>
      </c>
      <c r="B17" s="1" t="s">
        <v>2</v>
      </c>
      <c r="C17" s="1" t="s">
        <v>3</v>
      </c>
      <c r="D17" s="1" t="n">
        <v>5.75174214732728</v>
      </c>
      <c r="E17" s="1" t="n">
        <v>1.47513677166173</v>
      </c>
      <c r="F17" s="4" t="n">
        <v>0.00013848252532255</v>
      </c>
      <c r="G17" s="1" t="n">
        <v>0.0112632453929007</v>
      </c>
    </row>
    <row r="18" customFormat="false" ht="12.8" hidden="false" customHeight="false" outlineLevel="0" collapsed="false">
      <c r="A18" s="1" t="s">
        <v>107</v>
      </c>
      <c r="B18" s="1" t="s">
        <v>2</v>
      </c>
      <c r="C18" s="1" t="s">
        <v>3</v>
      </c>
      <c r="D18" s="1" t="n">
        <v>2.83911824976654</v>
      </c>
      <c r="E18" s="1" t="n">
        <v>0.735566103511942</v>
      </c>
      <c r="F18" s="4" t="n">
        <v>0.00016066931509209</v>
      </c>
      <c r="G18" s="1" t="n">
        <v>0.0120432696614151</v>
      </c>
    </row>
    <row r="19" customFormat="false" ht="12.8" hidden="false" customHeight="false" outlineLevel="0" collapsed="false">
      <c r="A19" s="1" t="s">
        <v>108</v>
      </c>
      <c r="B19" s="1" t="s">
        <v>1</v>
      </c>
      <c r="C19" s="1" t="s">
        <v>3</v>
      </c>
      <c r="D19" s="1" t="n">
        <v>-3.81916938349668</v>
      </c>
      <c r="E19" s="1" t="n">
        <v>0.991100023545157</v>
      </c>
      <c r="F19" s="4" t="n">
        <v>0.00016452554182261</v>
      </c>
      <c r="G19" s="1" t="n">
        <v>0.0120432696614151</v>
      </c>
    </row>
    <row r="20" customFormat="false" ht="12.8" hidden="false" customHeight="false" outlineLevel="0" collapsed="false">
      <c r="A20" s="1" t="s">
        <v>109</v>
      </c>
      <c r="B20" s="1" t="s">
        <v>1</v>
      </c>
      <c r="C20" s="1" t="s">
        <v>3</v>
      </c>
      <c r="D20" s="1" t="n">
        <v>-1.70470885798176</v>
      </c>
      <c r="E20" s="1" t="n">
        <v>0.458914086523718</v>
      </c>
      <c r="F20" s="4" t="n">
        <v>0.00027525389436426</v>
      </c>
      <c r="G20" s="1" t="n">
        <v>0.0159067776848399</v>
      </c>
    </row>
    <row r="21" customFormat="false" ht="12.8" hidden="false" customHeight="false" outlineLevel="0" collapsed="false">
      <c r="A21" s="1" t="s">
        <v>110</v>
      </c>
      <c r="B21" s="1" t="s">
        <v>1</v>
      </c>
      <c r="C21" s="1" t="s">
        <v>3</v>
      </c>
      <c r="D21" s="1" t="n">
        <v>-2.11200972456835</v>
      </c>
      <c r="E21" s="1" t="n">
        <v>0.58267566704645</v>
      </c>
      <c r="F21" s="4" t="n">
        <v>0.00038138283080644</v>
      </c>
      <c r="G21" s="1" t="n">
        <v>0.0194771324756033</v>
      </c>
    </row>
    <row r="22" customFormat="false" ht="12.8" hidden="false" customHeight="false" outlineLevel="0" collapsed="false">
      <c r="A22" s="1" t="s">
        <v>111</v>
      </c>
      <c r="B22" s="1" t="s">
        <v>2</v>
      </c>
      <c r="C22" s="1" t="s">
        <v>3</v>
      </c>
      <c r="D22" s="1" t="n">
        <v>2.88669497702764</v>
      </c>
      <c r="E22" s="1" t="n">
        <v>0.810979566613103</v>
      </c>
      <c r="F22" s="4" t="n">
        <v>0.00048117060102566</v>
      </c>
      <c r="G22" s="1" t="n">
        <v>0.0229706660837467</v>
      </c>
    </row>
    <row r="23" customFormat="false" ht="12.8" hidden="false" customHeight="false" outlineLevel="0" collapsed="false">
      <c r="A23" s="1" t="s">
        <v>112</v>
      </c>
      <c r="B23" s="1" t="s">
        <v>1</v>
      </c>
      <c r="C23" s="1" t="s">
        <v>3</v>
      </c>
      <c r="D23" s="1" t="n">
        <v>3.65126254740968</v>
      </c>
      <c r="E23" s="1" t="n">
        <v>1.03984348520329</v>
      </c>
      <c r="F23" s="4" t="n">
        <v>0.00057019470677145</v>
      </c>
      <c r="G23" s="1" t="n">
        <v>0.0260728933436985</v>
      </c>
    </row>
    <row r="24" customFormat="false" ht="12.8" hidden="false" customHeight="false" outlineLevel="0" collapsed="false">
      <c r="A24" s="1" t="s">
        <v>113</v>
      </c>
      <c r="B24" s="1" t="s">
        <v>1</v>
      </c>
      <c r="C24" s="1" t="s">
        <v>3</v>
      </c>
      <c r="D24" s="1" t="n">
        <v>-2.3322868668624</v>
      </c>
      <c r="E24" s="1" t="n">
        <v>0.666574139958649</v>
      </c>
      <c r="F24" s="4" t="n">
        <v>0.00059559093832888</v>
      </c>
      <c r="G24" s="1" t="n">
        <v>0.0260728933436985</v>
      </c>
    </row>
    <row r="25" customFormat="false" ht="12.8" hidden="false" customHeight="false" outlineLevel="0" collapsed="false">
      <c r="A25" s="1" t="s">
        <v>114</v>
      </c>
      <c r="B25" s="1" t="s">
        <v>2</v>
      </c>
      <c r="C25" s="1" t="s">
        <v>3</v>
      </c>
      <c r="D25" s="1" t="n">
        <v>-3.0026073057242</v>
      </c>
      <c r="E25" s="1" t="n">
        <v>0.864046057855581</v>
      </c>
      <c r="F25" s="4" t="n">
        <v>0.00064729458759567</v>
      </c>
      <c r="G25" s="1" t="n">
        <v>0.0270816995498663</v>
      </c>
    </row>
    <row r="26" customFormat="false" ht="12.8" hidden="false" customHeight="false" outlineLevel="0" collapsed="false">
      <c r="A26" s="1" t="s">
        <v>97</v>
      </c>
      <c r="B26" s="1" t="s">
        <v>1</v>
      </c>
      <c r="C26" s="1" t="s">
        <v>3</v>
      </c>
      <c r="D26" s="1" t="n">
        <v>-2.93784859384413</v>
      </c>
      <c r="E26" s="1" t="n">
        <v>0.846090404311315</v>
      </c>
      <c r="F26" s="4" t="n">
        <v>0.00065361114578457</v>
      </c>
      <c r="G26" s="1" t="n">
        <v>0.0270816995498663</v>
      </c>
    </row>
    <row r="27" customFormat="false" ht="12.8" hidden="false" customHeight="false" outlineLevel="0" collapsed="false">
      <c r="A27" s="1" t="s">
        <v>115</v>
      </c>
      <c r="B27" s="1" t="s">
        <v>1</v>
      </c>
      <c r="C27" s="1" t="s">
        <v>3</v>
      </c>
      <c r="D27" s="1" t="n">
        <v>-2.83515623183783</v>
      </c>
      <c r="E27" s="1" t="n">
        <v>0.825590889120307</v>
      </c>
      <c r="F27" s="4" t="n">
        <v>0.00074599110306462</v>
      </c>
      <c r="G27" s="1" t="n">
        <v>0.0287402888128054</v>
      </c>
    </row>
    <row r="28" customFormat="false" ht="12.8" hidden="false" customHeight="false" outlineLevel="0" collapsed="false">
      <c r="A28" s="1" t="s">
        <v>116</v>
      </c>
      <c r="B28" s="1" t="s">
        <v>2</v>
      </c>
      <c r="C28" s="1" t="s">
        <v>3</v>
      </c>
      <c r="D28" s="1" t="n">
        <v>3.71019972618337</v>
      </c>
      <c r="E28" s="1" t="n">
        <v>1.08614482615024</v>
      </c>
      <c r="F28" s="4" t="n">
        <v>0.00079411043008</v>
      </c>
      <c r="G28" s="1" t="n">
        <v>0.0294169427671064</v>
      </c>
    </row>
    <row r="29" customFormat="false" ht="12.8" hidden="false" customHeight="false" outlineLevel="0" collapsed="false">
      <c r="A29" s="1" t="s">
        <v>117</v>
      </c>
      <c r="B29" s="1" t="s">
        <v>1</v>
      </c>
      <c r="C29" s="1" t="s">
        <v>3</v>
      </c>
      <c r="D29" s="1" t="n">
        <v>3.81041807695557</v>
      </c>
      <c r="E29" s="1" t="n">
        <v>1.12601749857511</v>
      </c>
      <c r="F29" s="4" t="n">
        <v>0.00088591990426143</v>
      </c>
      <c r="G29" s="1" t="n">
        <v>0.0313787114477113</v>
      </c>
    </row>
    <row r="30" customFormat="false" ht="12.8" hidden="false" customHeight="false" outlineLevel="0" collapsed="false">
      <c r="A30" s="1" t="s">
        <v>118</v>
      </c>
      <c r="B30" s="1" t="s">
        <v>2</v>
      </c>
      <c r="C30" s="1" t="s">
        <v>3</v>
      </c>
      <c r="D30" s="1" t="n">
        <v>4.72310353105608</v>
      </c>
      <c r="E30" s="1" t="n">
        <v>1.40508749829691</v>
      </c>
      <c r="F30" s="4" t="n">
        <v>0.00095656972632773</v>
      </c>
      <c r="G30" s="1" t="n">
        <v>0.0328222987346202</v>
      </c>
    </row>
    <row r="31" customFormat="false" ht="12.8" hidden="false" customHeight="false" outlineLevel="0" collapsed="false">
      <c r="A31" s="1" t="s">
        <v>119</v>
      </c>
      <c r="B31" s="1" t="s">
        <v>2</v>
      </c>
      <c r="C31" s="1" t="s">
        <v>3</v>
      </c>
      <c r="D31" s="1" t="n">
        <v>-1.60118776856875</v>
      </c>
      <c r="E31" s="1" t="n">
        <v>0.477813443412169</v>
      </c>
      <c r="F31" s="4" t="n">
        <v>0.00099075685091509</v>
      </c>
      <c r="G31" s="1" t="n">
        <v>0.0329651824940839</v>
      </c>
    </row>
    <row r="32" customFormat="false" ht="12.8" hidden="false" customHeight="false" outlineLevel="0" collapsed="false">
      <c r="A32" s="1" t="s">
        <v>120</v>
      </c>
      <c r="B32" s="1" t="s">
        <v>2</v>
      </c>
      <c r="C32" s="1" t="s">
        <v>3</v>
      </c>
      <c r="D32" s="1" t="n">
        <v>-1.51105318487664</v>
      </c>
      <c r="E32" s="1" t="n">
        <v>0.453653410120567</v>
      </c>
      <c r="F32" s="1" t="n">
        <v>0.00106080985130682</v>
      </c>
      <c r="G32" s="1" t="n">
        <v>0.0342579181392614</v>
      </c>
    </row>
    <row r="33" customFormat="false" ht="12.8" hidden="false" customHeight="false" outlineLevel="0" collapsed="false">
      <c r="A33" s="1" t="s">
        <v>121</v>
      </c>
      <c r="B33" s="1" t="s">
        <v>2</v>
      </c>
      <c r="C33" s="1" t="s">
        <v>3</v>
      </c>
      <c r="D33" s="1" t="n">
        <v>3.0421828600356</v>
      </c>
      <c r="E33" s="1" t="n">
        <v>0.923528246040834</v>
      </c>
      <c r="F33" s="1" t="n">
        <v>0.00120017435985629</v>
      </c>
      <c r="G33" s="1" t="n">
        <v>0.0381968535397741</v>
      </c>
    </row>
    <row r="34" customFormat="false" ht="12.8" hidden="false" customHeight="false" outlineLevel="0" collapsed="false">
      <c r="A34" s="1" t="s">
        <v>122</v>
      </c>
      <c r="B34" s="1" t="s">
        <v>2</v>
      </c>
      <c r="C34" s="1" t="s">
        <v>3</v>
      </c>
      <c r="D34" s="1" t="n">
        <v>-3.0259311025445</v>
      </c>
      <c r="E34" s="1" t="n">
        <v>0.922788351361576</v>
      </c>
      <c r="F34" s="1" t="n">
        <v>0.00126166440030023</v>
      </c>
      <c r="G34" s="1" t="n">
        <v>0.0390227468036522</v>
      </c>
    </row>
    <row r="35" customFormat="false" ht="12.8" hidden="false" customHeight="false" outlineLevel="0" collapsed="false">
      <c r="A35" s="1" t="s">
        <v>123</v>
      </c>
      <c r="B35" s="1" t="s">
        <v>2</v>
      </c>
      <c r="C35" s="1" t="s">
        <v>3</v>
      </c>
      <c r="D35" s="1" t="n">
        <v>2.21940821989103</v>
      </c>
      <c r="E35" s="1" t="n">
        <v>0.683121986979997</v>
      </c>
      <c r="F35" s="1" t="n">
        <v>0.00139472856543011</v>
      </c>
      <c r="G35" s="1" t="n">
        <v>0.0419306218782375</v>
      </c>
    </row>
    <row r="36" customFormat="false" ht="12.8" hidden="false" customHeight="false" outlineLevel="0" collapsed="false">
      <c r="A36" s="1" t="s">
        <v>124</v>
      </c>
      <c r="B36" s="1" t="s">
        <v>2</v>
      </c>
      <c r="C36" s="1" t="s">
        <v>3</v>
      </c>
      <c r="D36" s="1" t="n">
        <v>3.55168624264731</v>
      </c>
      <c r="E36" s="1" t="n">
        <v>1.0945130833732</v>
      </c>
      <c r="F36" s="1" t="n">
        <v>0.00141296266802804</v>
      </c>
      <c r="G36" s="1" t="n">
        <v>0.0419306218782375</v>
      </c>
    </row>
    <row r="37" customFormat="false" ht="12.8" hidden="false" customHeight="false" outlineLevel="0" collapsed="false">
      <c r="A37" s="1" t="s">
        <v>125</v>
      </c>
      <c r="B37" s="1" t="s">
        <v>1</v>
      </c>
      <c r="C37" s="1" t="s">
        <v>3</v>
      </c>
      <c r="D37" s="1" t="n">
        <v>-2.08278483756842</v>
      </c>
      <c r="E37" s="1" t="n">
        <v>0.645080548777665</v>
      </c>
      <c r="F37" s="1" t="n">
        <v>0.00149089765522743</v>
      </c>
      <c r="G37" s="1" t="n">
        <v>0.0436534833450592</v>
      </c>
    </row>
    <row r="38" customFormat="false" ht="12.8" hidden="false" customHeight="false" outlineLevel="0" collapsed="false">
      <c r="A38" s="1" t="s">
        <v>126</v>
      </c>
      <c r="B38" s="1" t="s">
        <v>2</v>
      </c>
      <c r="C38" s="1" t="s">
        <v>3</v>
      </c>
      <c r="D38" s="1" t="n">
        <v>3.39554451081289</v>
      </c>
      <c r="E38" s="1" t="n">
        <v>1.06617229721263</v>
      </c>
      <c r="F38" s="1" t="n">
        <v>0.00172166236619308</v>
      </c>
      <c r="G38" s="1" t="n">
        <v>0.0491009163137663</v>
      </c>
    </row>
    <row r="39" customFormat="false" ht="12.8" hidden="false" customHeight="false" outlineLevel="0" collapsed="false">
      <c r="A39" s="1" t="s">
        <v>127</v>
      </c>
      <c r="B39" s="1" t="s">
        <v>2</v>
      </c>
      <c r="C39" s="1" t="s">
        <v>1</v>
      </c>
      <c r="D39" s="1" t="n">
        <v>-7.03206263170371</v>
      </c>
      <c r="E39" s="1" t="n">
        <v>1.10723829514835</v>
      </c>
      <c r="F39" s="4" t="n">
        <v>1.86413414985303E-009</v>
      </c>
      <c r="G39" s="4" t="n">
        <v>3.72533205732944E-006</v>
      </c>
    </row>
    <row r="40" customFormat="false" ht="12.8" hidden="false" customHeight="false" outlineLevel="0" collapsed="false">
      <c r="A40" s="1" t="s">
        <v>104</v>
      </c>
      <c r="B40" s="1" t="s">
        <v>2</v>
      </c>
      <c r="C40" s="1" t="s">
        <v>1</v>
      </c>
      <c r="D40" s="1" t="n">
        <v>3.62332113892985</v>
      </c>
      <c r="E40" s="1" t="n">
        <v>0.666583524553036</v>
      </c>
      <c r="F40" s="4" t="n">
        <v>1.85767889877587E-007</v>
      </c>
      <c r="G40" s="4" t="n">
        <v>8.15892572342362E-005</v>
      </c>
    </row>
    <row r="41" customFormat="false" ht="12.8" hidden="false" customHeight="false" outlineLevel="0" collapsed="false">
      <c r="A41" s="1" t="s">
        <v>98</v>
      </c>
      <c r="B41" s="1" t="s">
        <v>2</v>
      </c>
      <c r="C41" s="1" t="s">
        <v>1</v>
      </c>
      <c r="D41" s="1" t="n">
        <v>4.80353566121549</v>
      </c>
      <c r="E41" s="1" t="n">
        <v>0.941809961818356</v>
      </c>
      <c r="F41" s="4" t="n">
        <v>8.93454976520746E-007</v>
      </c>
      <c r="G41" s="4" t="n">
        <v>0.000245253391054945</v>
      </c>
    </row>
    <row r="42" customFormat="false" ht="12.8" hidden="false" customHeight="false" outlineLevel="0" collapsed="false">
      <c r="A42" s="1" t="s">
        <v>111</v>
      </c>
      <c r="B42" s="1" t="s">
        <v>2</v>
      </c>
      <c r="C42" s="1" t="s">
        <v>1</v>
      </c>
      <c r="D42" s="1" t="n">
        <v>2.72060987164712</v>
      </c>
      <c r="E42" s="1" t="n">
        <v>0.577040226333958</v>
      </c>
      <c r="F42" s="4" t="n">
        <v>4.99825539456777E-006</v>
      </c>
      <c r="G42" s="4" t="n">
        <v>0.000997833531497348</v>
      </c>
    </row>
    <row r="43" customFormat="false" ht="12.8" hidden="false" customHeight="false" outlineLevel="0" collapsed="false">
      <c r="A43" s="1" t="s">
        <v>94</v>
      </c>
      <c r="B43" s="1" t="s">
        <v>2</v>
      </c>
      <c r="C43" s="1" t="s">
        <v>1</v>
      </c>
      <c r="D43" s="1" t="n">
        <v>-2.59483931116751</v>
      </c>
      <c r="E43" s="1" t="n">
        <v>0.559624990450185</v>
      </c>
      <c r="F43" s="4" t="n">
        <v>7.00117630696354E-006</v>
      </c>
      <c r="G43" s="1" t="n">
        <v>0.00118266024385323</v>
      </c>
    </row>
    <row r="44" customFormat="false" ht="12.8" hidden="false" customHeight="false" outlineLevel="0" collapsed="false">
      <c r="A44" s="1" t="s">
        <v>128</v>
      </c>
      <c r="B44" s="1" t="s">
        <v>2</v>
      </c>
      <c r="C44" s="1" t="s">
        <v>1</v>
      </c>
      <c r="D44" s="1" t="n">
        <v>1.82224359716101</v>
      </c>
      <c r="E44" s="1" t="n">
        <v>0.395346467796506</v>
      </c>
      <c r="F44" s="4" t="n">
        <v>7.87727550425823E-006</v>
      </c>
      <c r="G44" s="1" t="n">
        <v>0.00123560692909651</v>
      </c>
    </row>
    <row r="45" customFormat="false" ht="12.8" hidden="false" customHeight="false" outlineLevel="0" collapsed="false">
      <c r="A45" s="1" t="s">
        <v>106</v>
      </c>
      <c r="B45" s="1" t="s">
        <v>2</v>
      </c>
      <c r="C45" s="1" t="s">
        <v>1</v>
      </c>
      <c r="D45" s="1" t="n">
        <v>4.78144419824329</v>
      </c>
      <c r="E45" s="1" t="n">
        <v>1.0496112252842</v>
      </c>
      <c r="F45" s="4" t="n">
        <v>9.9050873158314E-006</v>
      </c>
      <c r="G45" s="1" t="n">
        <v>0.00145010478303772</v>
      </c>
    </row>
    <row r="46" customFormat="false" ht="12.8" hidden="false" customHeight="false" outlineLevel="0" collapsed="false">
      <c r="A46" s="1" t="s">
        <v>99</v>
      </c>
      <c r="B46" s="1" t="s">
        <v>2</v>
      </c>
      <c r="C46" s="1" t="s">
        <v>1</v>
      </c>
      <c r="D46" s="1" t="n">
        <v>3.37076530552412</v>
      </c>
      <c r="E46" s="1" t="n">
        <v>0.749701277546731</v>
      </c>
      <c r="F46" s="4" t="n">
        <v>1.27225533059395E-005</v>
      </c>
      <c r="G46" s="1" t="n">
        <v>0.00164345453293195</v>
      </c>
    </row>
    <row r="47" customFormat="false" ht="12.8" hidden="false" customHeight="false" outlineLevel="0" collapsed="false">
      <c r="A47" s="1" t="s">
        <v>118</v>
      </c>
      <c r="B47" s="1" t="s">
        <v>2</v>
      </c>
      <c r="C47" s="1" t="s">
        <v>1</v>
      </c>
      <c r="D47" s="1" t="n">
        <v>4.08636889760139</v>
      </c>
      <c r="E47" s="1" t="n">
        <v>0.999768725890808</v>
      </c>
      <c r="F47" s="4" t="n">
        <v>6.70108771579963E-005</v>
      </c>
      <c r="G47" s="1" t="n">
        <v>0.00774504664415578</v>
      </c>
    </row>
    <row r="48" customFormat="false" ht="12.8" hidden="false" customHeight="false" outlineLevel="0" collapsed="false">
      <c r="A48" s="1" t="s">
        <v>129</v>
      </c>
      <c r="B48" s="1" t="s">
        <v>2</v>
      </c>
      <c r="C48" s="1" t="s">
        <v>1</v>
      </c>
      <c r="D48" s="1" t="n">
        <v>2.65765531045431</v>
      </c>
      <c r="E48" s="1" t="n">
        <v>0.673847435779766</v>
      </c>
      <c r="F48" s="4" t="n">
        <v>0.00011673694651708</v>
      </c>
      <c r="G48" s="1" t="n">
        <v>0.0106991564523797</v>
      </c>
    </row>
    <row r="49" customFormat="false" ht="12.8" hidden="false" customHeight="false" outlineLevel="0" collapsed="false">
      <c r="A49" s="1" t="s">
        <v>130</v>
      </c>
      <c r="B49" s="1" t="s">
        <v>2</v>
      </c>
      <c r="C49" s="1" t="s">
        <v>1</v>
      </c>
      <c r="D49" s="1" t="n">
        <v>1.69904291849571</v>
      </c>
      <c r="E49" s="1" t="n">
        <v>0.435590060887148</v>
      </c>
      <c r="F49" s="4" t="n">
        <v>0.00013773374134401</v>
      </c>
      <c r="G49" s="1" t="n">
        <v>0.0112632453929007</v>
      </c>
    </row>
    <row r="50" customFormat="false" ht="12.8" hidden="false" customHeight="false" outlineLevel="0" collapsed="false">
      <c r="A50" s="1" t="s">
        <v>102</v>
      </c>
      <c r="B50" s="1" t="s">
        <v>2</v>
      </c>
      <c r="C50" s="1" t="s">
        <v>1</v>
      </c>
      <c r="D50" s="1" t="n">
        <v>-2.6764024449176</v>
      </c>
      <c r="E50" s="1" t="n">
        <v>0.693342426825968</v>
      </c>
      <c r="F50" s="4" t="n">
        <v>0.0001604445292446</v>
      </c>
      <c r="G50" s="1" t="n">
        <v>0.0120432696614151</v>
      </c>
    </row>
    <row r="51" customFormat="false" ht="12.8" hidden="false" customHeight="false" outlineLevel="0" collapsed="false">
      <c r="A51" s="1" t="s">
        <v>131</v>
      </c>
      <c r="B51" s="1" t="s">
        <v>2</v>
      </c>
      <c r="C51" s="1" t="s">
        <v>1</v>
      </c>
      <c r="D51" s="1" t="n">
        <v>1.42679461316421</v>
      </c>
      <c r="E51" s="1" t="n">
        <v>0.372949458580891</v>
      </c>
      <c r="F51" s="4" t="n">
        <v>0.00018256419477797</v>
      </c>
      <c r="G51" s="1" t="n">
        <v>0.0129326119913685</v>
      </c>
    </row>
    <row r="52" customFormat="false" ht="12.8" hidden="false" customHeight="false" outlineLevel="0" collapsed="false">
      <c r="A52" s="1" t="s">
        <v>96</v>
      </c>
      <c r="B52" s="1" t="s">
        <v>2</v>
      </c>
      <c r="C52" s="1" t="s">
        <v>1</v>
      </c>
      <c r="D52" s="1" t="n">
        <v>-2.24630962722998</v>
      </c>
      <c r="E52" s="1" t="n">
        <v>0.594713308671432</v>
      </c>
      <c r="F52" s="4" t="n">
        <v>0.00021872300705615</v>
      </c>
      <c r="G52" s="1" t="n">
        <v>0.0150098663592283</v>
      </c>
    </row>
    <row r="53" customFormat="false" ht="12.8" hidden="false" customHeight="false" outlineLevel="0" collapsed="false">
      <c r="A53" s="1" t="s">
        <v>105</v>
      </c>
      <c r="B53" s="1" t="s">
        <v>2</v>
      </c>
      <c r="C53" s="1" t="s">
        <v>1</v>
      </c>
      <c r="D53" s="1" t="n">
        <v>-3.71733861948142</v>
      </c>
      <c r="E53" s="1" t="n">
        <v>0.989517250353019</v>
      </c>
      <c r="F53" s="4" t="n">
        <v>0.0002358573297088</v>
      </c>
      <c r="G53" s="1" t="n">
        <v>0.0153356473583289</v>
      </c>
    </row>
    <row r="54" customFormat="false" ht="12.8" hidden="false" customHeight="false" outlineLevel="0" collapsed="false">
      <c r="A54" s="1" t="s">
        <v>116</v>
      </c>
      <c r="B54" s="1" t="s">
        <v>2</v>
      </c>
      <c r="C54" s="1" t="s">
        <v>1</v>
      </c>
      <c r="D54" s="1" t="n">
        <v>2.89938418601098</v>
      </c>
      <c r="E54" s="1" t="n">
        <v>0.772829898699772</v>
      </c>
      <c r="F54" s="4" t="n">
        <v>0.00024030932826114</v>
      </c>
      <c r="G54" s="1" t="n">
        <v>0.0153356473583289</v>
      </c>
    </row>
    <row r="55" customFormat="false" ht="12.8" hidden="false" customHeight="false" outlineLevel="0" collapsed="false">
      <c r="A55" s="1" t="s">
        <v>132</v>
      </c>
      <c r="B55" s="1" t="s">
        <v>2</v>
      </c>
      <c r="C55" s="1" t="s">
        <v>1</v>
      </c>
      <c r="D55" s="1" t="n">
        <v>3.35490327374497</v>
      </c>
      <c r="E55" s="1" t="n">
        <v>0.897649052183962</v>
      </c>
      <c r="F55" s="4" t="n">
        <v>0.00025320874463408</v>
      </c>
      <c r="G55" s="1" t="n">
        <v>0.0153356473583289</v>
      </c>
    </row>
    <row r="56" customFormat="false" ht="12.8" hidden="false" customHeight="false" outlineLevel="0" collapsed="false">
      <c r="A56" s="1" t="s">
        <v>126</v>
      </c>
      <c r="B56" s="1" t="s">
        <v>2</v>
      </c>
      <c r="C56" s="1" t="s">
        <v>1</v>
      </c>
      <c r="D56" s="1" t="n">
        <v>2.83388275602338</v>
      </c>
      <c r="E56" s="1" t="n">
        <v>0.758618748267526</v>
      </c>
      <c r="F56" s="4" t="n">
        <v>0.00025493593426857</v>
      </c>
      <c r="G56" s="1" t="n">
        <v>0.0153356473583289</v>
      </c>
    </row>
    <row r="57" customFormat="false" ht="12.8" hidden="false" customHeight="false" outlineLevel="0" collapsed="false">
      <c r="A57" s="1" t="s">
        <v>133</v>
      </c>
      <c r="B57" s="1" t="s">
        <v>2</v>
      </c>
      <c r="C57" s="1" t="s">
        <v>1</v>
      </c>
      <c r="D57" s="1" t="n">
        <v>2.51487025317532</v>
      </c>
      <c r="E57" s="1" t="n">
        <v>0.673881262863915</v>
      </c>
      <c r="F57" s="4" t="n">
        <v>0.00025838750102831</v>
      </c>
      <c r="G57" s="1" t="n">
        <v>0.0153356473583289</v>
      </c>
    </row>
    <row r="58" customFormat="false" ht="12.8" hidden="false" customHeight="false" outlineLevel="0" collapsed="false">
      <c r="A58" s="1" t="s">
        <v>134</v>
      </c>
      <c r="B58" s="1" t="s">
        <v>2</v>
      </c>
      <c r="C58" s="1" t="s">
        <v>1</v>
      </c>
      <c r="D58" s="1" t="n">
        <v>2.97286233103434</v>
      </c>
      <c r="E58" s="1" t="n">
        <v>0.803949600115383</v>
      </c>
      <c r="F58" s="4" t="n">
        <v>0.00029270391081047</v>
      </c>
      <c r="G58" s="1" t="n">
        <v>0.0164814817471742</v>
      </c>
    </row>
    <row r="59" customFormat="false" ht="12.8" hidden="false" customHeight="false" outlineLevel="0" collapsed="false">
      <c r="A59" s="1" t="s">
        <v>135</v>
      </c>
      <c r="B59" s="1" t="s">
        <v>2</v>
      </c>
      <c r="C59" s="1" t="s">
        <v>1</v>
      </c>
      <c r="D59" s="1" t="n">
        <v>-2.29767505565247</v>
      </c>
      <c r="E59" s="1" t="n">
        <v>0.623602237609101</v>
      </c>
      <c r="F59" s="4" t="n">
        <v>0.00030722423161172</v>
      </c>
      <c r="G59" s="1" t="n">
        <v>0.0165225090483282</v>
      </c>
    </row>
    <row r="60" customFormat="false" ht="12.8" hidden="false" customHeight="false" outlineLevel="0" collapsed="false">
      <c r="A60" s="1" t="s">
        <v>136</v>
      </c>
      <c r="B60" s="1" t="s">
        <v>2</v>
      </c>
      <c r="C60" s="1" t="s">
        <v>1</v>
      </c>
      <c r="D60" s="1" t="n">
        <v>2.17776353839646</v>
      </c>
      <c r="E60" s="1" t="n">
        <v>0.591237703250918</v>
      </c>
      <c r="F60" s="4" t="n">
        <v>0.00030848036019192</v>
      </c>
      <c r="G60" s="1" t="n">
        <v>0.0165225090483282</v>
      </c>
    </row>
    <row r="61" customFormat="false" ht="12.8" hidden="false" customHeight="false" outlineLevel="0" collapsed="false">
      <c r="A61" s="1" t="s">
        <v>137</v>
      </c>
      <c r="B61" s="1" t="s">
        <v>2</v>
      </c>
      <c r="C61" s="1" t="s">
        <v>1</v>
      </c>
      <c r="D61" s="1" t="n">
        <v>1.28040798510276</v>
      </c>
      <c r="E61" s="1" t="n">
        <v>0.350954308602256</v>
      </c>
      <c r="F61" s="4" t="n">
        <v>0.00035021194241786</v>
      </c>
      <c r="G61" s="1" t="n">
        <v>0.0183110815607053</v>
      </c>
    </row>
    <row r="62" customFormat="false" ht="12.8" hidden="false" customHeight="false" outlineLevel="0" collapsed="false">
      <c r="A62" s="1" t="s">
        <v>138</v>
      </c>
      <c r="B62" s="1" t="s">
        <v>2</v>
      </c>
      <c r="C62" s="1" t="s">
        <v>1</v>
      </c>
      <c r="D62" s="1" t="n">
        <v>3.0300507997028</v>
      </c>
      <c r="E62" s="1" t="n">
        <v>0.839417107546475</v>
      </c>
      <c r="F62" s="4" t="n">
        <v>0.00040240795972185</v>
      </c>
      <c r="G62" s="1" t="n">
        <v>0.0200838154442996</v>
      </c>
    </row>
    <row r="63" customFormat="false" ht="12.8" hidden="false" customHeight="false" outlineLevel="0" collapsed="false">
      <c r="A63" s="1" t="s">
        <v>139</v>
      </c>
      <c r="B63" s="1" t="s">
        <v>2</v>
      </c>
      <c r="C63" s="1" t="s">
        <v>1</v>
      </c>
      <c r="D63" s="1" t="n">
        <v>1.3902750701098</v>
      </c>
      <c r="E63" s="1" t="n">
        <v>0.386632298864954</v>
      </c>
      <c r="F63" s="4" t="n">
        <v>0.00042283294550604</v>
      </c>
      <c r="G63" s="1" t="n">
        <v>0.0206342477406948</v>
      </c>
    </row>
    <row r="64" customFormat="false" ht="12.8" hidden="false" customHeight="false" outlineLevel="0" collapsed="false">
      <c r="A64" s="1" t="s">
        <v>140</v>
      </c>
      <c r="B64" s="1" t="s">
        <v>2</v>
      </c>
      <c r="C64" s="1" t="s">
        <v>1</v>
      </c>
      <c r="D64" s="1" t="n">
        <v>1.90283202832834</v>
      </c>
      <c r="E64" s="1" t="n">
        <v>0.542644993734784</v>
      </c>
      <c r="F64" s="4" t="n">
        <v>0.00057980960002207</v>
      </c>
      <c r="G64" s="1" t="n">
        <v>0.0260728933436985</v>
      </c>
    </row>
    <row r="65" customFormat="false" ht="12.8" hidden="false" customHeight="false" outlineLevel="0" collapsed="false">
      <c r="A65" s="1" t="s">
        <v>115</v>
      </c>
      <c r="B65" s="1" t="s">
        <v>2</v>
      </c>
      <c r="C65" s="1" t="s">
        <v>1</v>
      </c>
      <c r="D65" s="1" t="n">
        <v>2.18071097626428</v>
      </c>
      <c r="E65" s="1" t="n">
        <v>0.622599152394297</v>
      </c>
      <c r="F65" s="4" t="n">
        <v>0.00058797836403147</v>
      </c>
      <c r="G65" s="1" t="n">
        <v>0.0260728933436985</v>
      </c>
    </row>
    <row r="66" customFormat="false" ht="12.8" hidden="false" customHeight="false" outlineLevel="0" collapsed="false">
      <c r="A66" s="1" t="s">
        <v>110</v>
      </c>
      <c r="B66" s="1" t="s">
        <v>2</v>
      </c>
      <c r="C66" s="1" t="s">
        <v>1</v>
      </c>
      <c r="D66" s="1" t="n">
        <v>1.53538299583607</v>
      </c>
      <c r="E66" s="1" t="n">
        <v>0.439410586047585</v>
      </c>
      <c r="F66" s="4" t="n">
        <v>0.00060551801481267</v>
      </c>
      <c r="G66" s="1" t="n">
        <v>0.0260728933436985</v>
      </c>
    </row>
    <row r="67" customFormat="false" ht="12.8" hidden="false" customHeight="false" outlineLevel="0" collapsed="false">
      <c r="A67" s="1" t="s">
        <v>123</v>
      </c>
      <c r="B67" s="1" t="s">
        <v>2</v>
      </c>
      <c r="C67" s="1" t="s">
        <v>1</v>
      </c>
      <c r="D67" s="1" t="n">
        <v>1.68243031734862</v>
      </c>
      <c r="E67" s="1" t="n">
        <v>0.486065102265022</v>
      </c>
      <c r="F67" s="4" t="n">
        <v>0.00067891874542142</v>
      </c>
      <c r="G67" s="1" t="n">
        <v>0.0274712842083254</v>
      </c>
    </row>
    <row r="68" customFormat="false" ht="12.8" hidden="false" customHeight="false" outlineLevel="0" collapsed="false">
      <c r="A68" s="1" t="s">
        <v>141</v>
      </c>
      <c r="B68" s="1" t="s">
        <v>2</v>
      </c>
      <c r="C68" s="1" t="s">
        <v>1</v>
      </c>
      <c r="D68" s="1" t="n">
        <v>1.30826252475176</v>
      </c>
      <c r="E68" s="1" t="n">
        <v>0.378385923325736</v>
      </c>
      <c r="F68" s="4" t="n">
        <v>0.00068803307443438</v>
      </c>
      <c r="G68" s="1" t="n">
        <v>0.0274712842083254</v>
      </c>
    </row>
    <row r="69" customFormat="false" ht="12.8" hidden="false" customHeight="false" outlineLevel="0" collapsed="false">
      <c r="A69" s="1" t="s">
        <v>142</v>
      </c>
      <c r="B69" s="1" t="s">
        <v>2</v>
      </c>
      <c r="C69" s="1" t="s">
        <v>1</v>
      </c>
      <c r="D69" s="1" t="n">
        <v>2.90761775977963</v>
      </c>
      <c r="E69" s="1" t="n">
        <v>0.843405987549906</v>
      </c>
      <c r="F69" s="4" t="n">
        <v>0.00071230379677849</v>
      </c>
      <c r="G69" s="1" t="n">
        <v>0.0279324846022422</v>
      </c>
    </row>
    <row r="70" customFormat="false" ht="12.8" hidden="false" customHeight="false" outlineLevel="0" collapsed="false">
      <c r="A70" s="1" t="s">
        <v>143</v>
      </c>
      <c r="B70" s="1" t="s">
        <v>2</v>
      </c>
      <c r="C70" s="1" t="s">
        <v>1</v>
      </c>
      <c r="D70" s="1" t="n">
        <v>1.64271825412596</v>
      </c>
      <c r="E70" s="1" t="n">
        <v>0.479426578771232</v>
      </c>
      <c r="F70" s="4" t="n">
        <v>0.00076597395636275</v>
      </c>
      <c r="G70" s="1" t="n">
        <v>0.0290013587615965</v>
      </c>
    </row>
    <row r="71" customFormat="false" ht="12.8" hidden="false" customHeight="false" outlineLevel="0" collapsed="false">
      <c r="A71" s="1" t="s">
        <v>144</v>
      </c>
      <c r="B71" s="1" t="s">
        <v>2</v>
      </c>
      <c r="C71" s="1" t="s">
        <v>1</v>
      </c>
      <c r="D71" s="1" t="n">
        <v>1.39474995302583</v>
      </c>
      <c r="E71" s="1" t="n">
        <v>0.408984858855187</v>
      </c>
      <c r="F71" s="4" t="n">
        <v>0.00080969828005878</v>
      </c>
      <c r="G71" s="1" t="n">
        <v>0.0294169427671064</v>
      </c>
    </row>
    <row r="72" customFormat="false" ht="12.8" hidden="false" customHeight="false" outlineLevel="0" collapsed="false">
      <c r="A72" s="1" t="s">
        <v>145</v>
      </c>
      <c r="B72" s="1" t="s">
        <v>2</v>
      </c>
      <c r="C72" s="1" t="s">
        <v>1</v>
      </c>
      <c r="D72" s="1" t="n">
        <v>1.94638892794551</v>
      </c>
      <c r="E72" s="1" t="n">
        <v>0.571189426941125</v>
      </c>
      <c r="F72" s="4" t="n">
        <v>0.00081713729908629</v>
      </c>
      <c r="G72" s="1" t="n">
        <v>0.0294169427671064</v>
      </c>
    </row>
    <row r="73" customFormat="false" ht="12.8" hidden="false" customHeight="false" outlineLevel="0" collapsed="false">
      <c r="A73" s="1" t="s">
        <v>146</v>
      </c>
      <c r="B73" s="1" t="s">
        <v>2</v>
      </c>
      <c r="C73" s="1" t="s">
        <v>1</v>
      </c>
      <c r="D73" s="1" t="n">
        <v>3.88548831535437</v>
      </c>
      <c r="E73" s="1" t="n">
        <v>1.15465175914151</v>
      </c>
      <c r="F73" s="4" t="n">
        <v>0.00094480732188216</v>
      </c>
      <c r="G73" s="1" t="n">
        <v>0.0328222987346202</v>
      </c>
    </row>
    <row r="74" customFormat="false" ht="12.8" hidden="false" customHeight="false" outlineLevel="0" collapsed="false">
      <c r="A74" s="1" t="s">
        <v>147</v>
      </c>
      <c r="B74" s="1" t="s">
        <v>2</v>
      </c>
      <c r="C74" s="1" t="s">
        <v>1</v>
      </c>
      <c r="D74" s="1" t="n">
        <v>2.01013024145494</v>
      </c>
      <c r="E74" s="1" t="n">
        <v>0.59955484836148</v>
      </c>
      <c r="F74" s="4" t="n">
        <v>0.0009852971202922</v>
      </c>
      <c r="G74" s="1" t="n">
        <v>0.0329651824940839</v>
      </c>
    </row>
    <row r="75" customFormat="false" ht="12.8" hidden="false" customHeight="false" outlineLevel="0" collapsed="false">
      <c r="A75" s="1" t="s">
        <v>148</v>
      </c>
      <c r="B75" s="1" t="s">
        <v>2</v>
      </c>
      <c r="C75" s="1" t="s">
        <v>1</v>
      </c>
      <c r="D75" s="1" t="n">
        <v>-1.78007307834468</v>
      </c>
      <c r="E75" s="1" t="n">
        <v>0.532631843535696</v>
      </c>
      <c r="F75" s="1" t="n">
        <v>0.00102152680839953</v>
      </c>
      <c r="G75" s="1" t="n">
        <v>0.0334816846454533</v>
      </c>
    </row>
    <row r="76" customFormat="false" ht="12.8" hidden="false" customHeight="false" outlineLevel="0" collapsed="false">
      <c r="A76" s="1" t="s">
        <v>149</v>
      </c>
      <c r="B76" s="1" t="s">
        <v>2</v>
      </c>
      <c r="C76" s="1" t="s">
        <v>1</v>
      </c>
      <c r="D76" s="1" t="n">
        <v>3.42719561097678</v>
      </c>
      <c r="E76" s="1" t="n">
        <v>1.04323661112105</v>
      </c>
      <c r="F76" s="1" t="n">
        <v>0.00123651284336799</v>
      </c>
      <c r="G76" s="1" t="n">
        <v>0.0387911743433729</v>
      </c>
    </row>
    <row r="77" customFormat="false" ht="12.8" hidden="false" customHeight="false" outlineLevel="0" collapsed="false">
      <c r="A77" s="1" t="s">
        <v>121</v>
      </c>
      <c r="B77" s="1" t="s">
        <v>2</v>
      </c>
      <c r="C77" s="1" t="s">
        <v>1</v>
      </c>
      <c r="D77" s="1" t="n">
        <v>2.14057257186809</v>
      </c>
      <c r="E77" s="1" t="n">
        <v>0.657122534352885</v>
      </c>
      <c r="F77" s="1" t="n">
        <v>0.0013556759028512</v>
      </c>
      <c r="G77" s="1" t="n">
        <v>0.0413481150369616</v>
      </c>
    </row>
    <row r="78" customFormat="false" ht="12.8" hidden="false" customHeight="false" outlineLevel="0" collapsed="false">
      <c r="A78" s="1" t="s">
        <v>112</v>
      </c>
      <c r="B78" s="1" t="s">
        <v>2</v>
      </c>
      <c r="C78" s="1" t="s">
        <v>1</v>
      </c>
      <c r="D78" s="1" t="n">
        <v>-2.50005236615376</v>
      </c>
      <c r="E78" s="1" t="n">
        <v>0.784172501225311</v>
      </c>
      <c r="F78" s="1" t="n">
        <v>0.00170300229360558</v>
      </c>
      <c r="G78" s="1" t="n">
        <v>0.0491009163137663</v>
      </c>
    </row>
    <row r="79" customFormat="false" ht="12.8" hidden="false" customHeight="false" outlineLevel="0" collapsed="false">
      <c r="A79" s="1" t="s">
        <v>108</v>
      </c>
      <c r="B79" s="1" t="s">
        <v>2</v>
      </c>
      <c r="C79" s="1" t="s">
        <v>1</v>
      </c>
      <c r="D79" s="1" t="n">
        <v>2.37412232363974</v>
      </c>
      <c r="E79" s="1" t="n">
        <v>0.7474138132201</v>
      </c>
      <c r="F79" s="1" t="n">
        <v>0.00176911655434618</v>
      </c>
      <c r="G79" s="1" t="n">
        <v>0.0498074352992848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9" activeCellId="0" sqref="A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15"/>
  </cols>
  <sheetData>
    <row r="1" customFormat="false" ht="12.8" hidden="false" customHeight="false" outlineLevel="0" collapsed="false">
      <c r="A1" s="1" t="s">
        <v>150</v>
      </c>
    </row>
    <row r="2" customFormat="false" ht="12.8" hidden="false" customHeight="false" outlineLevel="0" collapsed="false">
      <c r="A2" s="5" t="s">
        <v>151</v>
      </c>
    </row>
    <row r="3" customFormat="false" ht="12.8" hidden="false" customHeight="false" outlineLevel="0" collapsed="false">
      <c r="A3" s="1" t="s">
        <v>152</v>
      </c>
      <c r="B3" s="1" t="s">
        <v>153</v>
      </c>
      <c r="C3" s="1" t="s">
        <v>154</v>
      </c>
      <c r="D3" s="1" t="s">
        <v>155</v>
      </c>
      <c r="E3" s="1" t="s">
        <v>156</v>
      </c>
      <c r="F3" s="1" t="s">
        <v>157</v>
      </c>
      <c r="G3" s="1" t="s">
        <v>158</v>
      </c>
      <c r="H3" s="1" t="s">
        <v>159</v>
      </c>
      <c r="I3" s="1" t="s">
        <v>160</v>
      </c>
      <c r="J3" s="1" t="s">
        <v>161</v>
      </c>
      <c r="K3" s="1" t="s">
        <v>162</v>
      </c>
    </row>
    <row r="4" customFormat="false" ht="12.8" hidden="false" customHeight="false" outlineLevel="0" collapsed="false">
      <c r="A4" s="1" t="s">
        <v>163</v>
      </c>
      <c r="B4" s="1" t="n">
        <v>-0.21378455572476</v>
      </c>
      <c r="C4" s="1" t="n">
        <v>0.0894764134596816</v>
      </c>
      <c r="D4" s="1" t="s">
        <v>164</v>
      </c>
      <c r="E4" s="1" t="n">
        <v>-0.423490478553591</v>
      </c>
      <c r="F4" s="1" t="n">
        <v>-0.00407863289592919</v>
      </c>
      <c r="G4" s="6" t="n">
        <v>-2.38928391805838</v>
      </c>
      <c r="H4" s="6" t="n">
        <v>0.0445043478393304</v>
      </c>
      <c r="I4" s="6" t="n">
        <v>0.807522342348741</v>
      </c>
      <c r="J4" s="6" t="n">
        <v>0.654757409874344</v>
      </c>
      <c r="K4" s="6" t="n">
        <v>0.995929673430565</v>
      </c>
    </row>
    <row r="5" customFormat="false" ht="12.8" hidden="false" customHeight="false" outlineLevel="0" collapsed="false">
      <c r="A5" s="1" t="s">
        <v>165</v>
      </c>
      <c r="B5" s="1" t="n">
        <v>0.277747536598157</v>
      </c>
      <c r="C5" s="1" t="n">
        <v>0.110932998069</v>
      </c>
      <c r="D5" s="1" t="s">
        <v>164</v>
      </c>
      <c r="E5" s="1" t="n">
        <v>0.0177538038060954</v>
      </c>
      <c r="F5" s="1" t="n">
        <v>0.537741269390218</v>
      </c>
      <c r="G5" s="6" t="n">
        <v>2.50374137031255</v>
      </c>
      <c r="H5" s="6" t="n">
        <v>0.0329083623942075</v>
      </c>
      <c r="I5" s="6" t="n">
        <v>1.32015286485054</v>
      </c>
      <c r="J5" s="6" t="n">
        <v>1.01791233939444</v>
      </c>
      <c r="K5" s="6" t="n">
        <v>1.71213523908149</v>
      </c>
    </row>
    <row r="6" customFormat="false" ht="12.8" hidden="false" customHeight="false" outlineLevel="0" collapsed="false">
      <c r="A6" s="1" t="s">
        <v>166</v>
      </c>
      <c r="B6" s="1" t="n">
        <v>0.491532092322917</v>
      </c>
      <c r="C6" s="1" t="n">
        <v>0.12455795759674</v>
      </c>
      <c r="D6" s="1" t="s">
        <v>164</v>
      </c>
      <c r="E6" s="1" t="n">
        <v>0.199605533875547</v>
      </c>
      <c r="F6" s="3" t="n">
        <v>0.783458650770287</v>
      </c>
      <c r="G6" s="6" t="n">
        <v>3.94621188245769</v>
      </c>
      <c r="H6" s="3" t="n">
        <v>0.000234218083580817</v>
      </c>
      <c r="I6" s="6" t="n">
        <v>1.63481899585685</v>
      </c>
      <c r="J6" s="6" t="n">
        <v>1.22092105116255</v>
      </c>
      <c r="K6" s="6" t="n">
        <v>2.18903027895992</v>
      </c>
    </row>
    <row r="8" customFormat="false" ht="12.8" hidden="false" customHeight="false" outlineLevel="0" collapsed="false">
      <c r="A8" s="5" t="s">
        <v>167</v>
      </c>
    </row>
    <row r="9" customFormat="false" ht="12.8" hidden="false" customHeight="false" outlineLevel="0" collapsed="false">
      <c r="A9" s="1" t="s">
        <v>152</v>
      </c>
      <c r="B9" s="1" t="s">
        <v>153</v>
      </c>
      <c r="C9" s="1" t="s">
        <v>154</v>
      </c>
      <c r="D9" s="1" t="s">
        <v>155</v>
      </c>
      <c r="E9" s="1" t="s">
        <v>168</v>
      </c>
      <c r="F9" s="1" t="s">
        <v>169</v>
      </c>
      <c r="G9" s="1" t="s">
        <v>170</v>
      </c>
      <c r="H9" s="1" t="s">
        <v>159</v>
      </c>
      <c r="I9" s="1" t="s">
        <v>171</v>
      </c>
      <c r="J9" s="1" t="s">
        <v>161</v>
      </c>
      <c r="K9" s="1" t="s">
        <v>162</v>
      </c>
    </row>
    <row r="10" customFormat="false" ht="12.8" hidden="false" customHeight="false" outlineLevel="0" collapsed="false">
      <c r="A10" s="1" t="s">
        <v>163</v>
      </c>
      <c r="B10" s="4" t="n">
        <v>0.000769549455383978</v>
      </c>
      <c r="C10" s="1" t="n">
        <v>0.0123767211240244</v>
      </c>
      <c r="D10" s="1" t="n">
        <v>239</v>
      </c>
      <c r="E10" s="1" t="n">
        <v>-0.0284198248706505</v>
      </c>
      <c r="F10" s="1" t="n">
        <v>0.0299589237814185</v>
      </c>
      <c r="G10" s="6" t="n">
        <v>0.0621771669307638</v>
      </c>
      <c r="H10" s="6" t="n">
        <v>0.997870868830836</v>
      </c>
      <c r="I10" s="6" t="n">
        <v>1.00076984563454</v>
      </c>
      <c r="J10" s="6" t="n">
        <v>0.971980219662087</v>
      </c>
      <c r="K10" s="6" t="n">
        <v>1.03041220764715</v>
      </c>
    </row>
    <row r="11" customFormat="false" ht="12.8" hidden="false" customHeight="false" outlineLevel="0" collapsed="false">
      <c r="A11" s="1" t="s">
        <v>165</v>
      </c>
      <c r="B11" s="1" t="n">
        <v>-0.0175056285499866</v>
      </c>
      <c r="C11" s="1" t="n">
        <v>0.0150817030740411</v>
      </c>
      <c r="D11" s="1" t="n">
        <v>239</v>
      </c>
      <c r="E11" s="1" t="n">
        <v>-0.0530744574902919</v>
      </c>
      <c r="F11" s="1" t="n">
        <v>0.0180632003903188</v>
      </c>
      <c r="G11" s="6" t="n">
        <v>-1.16071961263563</v>
      </c>
      <c r="H11" s="6" t="n">
        <v>0.47786864399406</v>
      </c>
      <c r="I11" s="6" t="n">
        <v>0.982646704773411</v>
      </c>
      <c r="J11" s="6" t="n">
        <v>0.948309401115531</v>
      </c>
      <c r="K11" s="6" t="n">
        <v>1.01822732672077</v>
      </c>
    </row>
    <row r="12" customFormat="false" ht="12.8" hidden="false" customHeight="false" outlineLevel="0" collapsed="false">
      <c r="A12" s="1" t="s">
        <v>166</v>
      </c>
      <c r="B12" s="1" t="n">
        <v>-0.0182751780053705</v>
      </c>
      <c r="C12" s="1" t="n">
        <v>0.0175274712408373</v>
      </c>
      <c r="D12" s="1" t="n">
        <v>239</v>
      </c>
      <c r="E12" s="1" t="n">
        <v>-0.0596121293603225</v>
      </c>
      <c r="F12" s="1" t="n">
        <v>0.0230617733495814</v>
      </c>
      <c r="G12" s="6" t="n">
        <v>-1.04265913515186</v>
      </c>
      <c r="H12" s="6" t="n">
        <v>0.550726684584814</v>
      </c>
      <c r="I12" s="6" t="n">
        <v>0.981890800427111</v>
      </c>
      <c r="J12" s="6" t="n">
        <v>0.942129887246715</v>
      </c>
      <c r="K12" s="6" t="n">
        <v>1.02332975210129</v>
      </c>
    </row>
    <row r="14" customFormat="false" ht="12.8" hidden="false" customHeight="false" outlineLevel="0" collapsed="false">
      <c r="B14" s="6"/>
    </row>
    <row r="15" customFormat="false" ht="12.8" hidden="false" customHeight="false" outlineLevel="0" collapsed="false">
      <c r="B15" s="6"/>
    </row>
    <row r="16" customFormat="false" ht="12.8" hidden="false" customHeight="false" outlineLevel="0" collapsed="false">
      <c r="B1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172</v>
      </c>
    </row>
    <row r="3" customFormat="false" ht="12.8" hidden="false" customHeight="false" outlineLevel="0" collapsed="false">
      <c r="A3" s="6" t="s">
        <v>173</v>
      </c>
      <c r="B3" s="6" t="s">
        <v>174</v>
      </c>
      <c r="C3" s="6" t="s">
        <v>175</v>
      </c>
      <c r="D3" s="6" t="s">
        <v>10</v>
      </c>
      <c r="E3" s="6" t="s">
        <v>176</v>
      </c>
      <c r="F3" s="6" t="s">
        <v>177</v>
      </c>
      <c r="G3" s="6" t="s">
        <v>178</v>
      </c>
    </row>
    <row r="4" customFormat="false" ht="12.8" hidden="false" customHeight="false" outlineLevel="0" collapsed="false">
      <c r="A4" s="6" t="s">
        <v>179</v>
      </c>
      <c r="B4" s="6" t="n">
        <v>2</v>
      </c>
      <c r="C4" s="6" t="n">
        <v>1.83645150759808</v>
      </c>
      <c r="D4" s="6" t="n">
        <f aca="false">C4/SUM($C$4:$C$8)</f>
        <v>0.0178437422914117</v>
      </c>
      <c r="E4" s="6" t="n">
        <f aca="false">(C4 - (B4*$C$8/$B$8))/(SUM($C$4:$C$8) + $C$8/$B$8)</f>
        <v>0.0119072664654273</v>
      </c>
      <c r="F4" s="6" t="n">
        <v>3.02367564775477</v>
      </c>
      <c r="G4" s="3" t="n">
        <v>0.0001</v>
      </c>
    </row>
    <row r="5" customFormat="false" ht="12.8" hidden="false" customHeight="false" outlineLevel="0" collapsed="false">
      <c r="A5" s="6" t="s">
        <v>180</v>
      </c>
      <c r="B5" s="6" t="n">
        <v>13</v>
      </c>
      <c r="C5" s="6" t="n">
        <v>15.1163704271625</v>
      </c>
      <c r="D5" s="6" t="n">
        <f aca="false">C5/SUM($C$4:$C$8)</f>
        <v>0.146877070898861</v>
      </c>
      <c r="E5" s="6" t="n">
        <f aca="false">(C5 - (B5*$C$8/$B$8))/(SUM($C$4:$C$8) + $C$8/$B$8)</f>
        <v>0.108199091884514</v>
      </c>
      <c r="F5" s="6" t="n">
        <v>3.82904002670742</v>
      </c>
      <c r="G5" s="3" t="n">
        <v>0.0001</v>
      </c>
    </row>
    <row r="6" customFormat="false" ht="12.8" hidden="false" customHeight="false" outlineLevel="0" collapsed="false">
      <c r="A6" s="6" t="s">
        <v>181</v>
      </c>
      <c r="B6" s="6" t="n">
        <v>4</v>
      </c>
      <c r="C6" s="6" t="n">
        <v>7.20317866918906</v>
      </c>
      <c r="D6" s="6" t="n">
        <f aca="false">C6/SUM($C$4:$C$8)</f>
        <v>0.0699891411889833</v>
      </c>
      <c r="E6" s="6" t="n">
        <f aca="false">(C6 - (B6*$C$8/$B$8))/(SUM($C$4:$C$8) + $C$8/$B$8)</f>
        <v>0.0580152744111473</v>
      </c>
      <c r="F6" s="6" t="n">
        <v>5.92993494201761</v>
      </c>
      <c r="G6" s="3" t="n">
        <v>0.0001</v>
      </c>
    </row>
    <row r="7" customFormat="false" ht="12.8" hidden="false" customHeight="false" outlineLevel="0" collapsed="false">
      <c r="A7" s="6" t="s">
        <v>182</v>
      </c>
      <c r="B7" s="6" t="n">
        <v>3</v>
      </c>
      <c r="C7" s="6" t="n">
        <v>6.18331859813839</v>
      </c>
      <c r="D7" s="6" t="n">
        <f aca="false">C7/SUM($C$4:$C$8)</f>
        <v>0.0600797478802917</v>
      </c>
      <c r="E7" s="6" t="n">
        <f aca="false">(C7 - (B7*$C$8/$B$8))/(SUM($C$4:$C$8) + $C$8/$B$8)</f>
        <v>0.0510770242956366</v>
      </c>
      <c r="F7" s="6" t="n">
        <v>6.78712897859321</v>
      </c>
      <c r="G7" s="3" t="n">
        <v>0.0001</v>
      </c>
    </row>
    <row r="8" customFormat="false" ht="12.8" hidden="false" customHeight="false" outlineLevel="0" collapsed="false">
      <c r="A8" s="6" t="s">
        <v>183</v>
      </c>
      <c r="B8" s="6" t="n">
        <v>239</v>
      </c>
      <c r="C8" s="6" t="n">
        <v>72.579198539674</v>
      </c>
      <c r="D8" s="6" t="n">
        <f aca="false">C8/SUM($C$4:$C$8)</f>
        <v>0.705210297740452</v>
      </c>
      <c r="F8" s="6" t="s">
        <v>74</v>
      </c>
      <c r="G8" s="6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184</v>
      </c>
      <c r="B1" s="6" t="s">
        <v>185</v>
      </c>
      <c r="C1" s="6" t="s">
        <v>186</v>
      </c>
    </row>
    <row r="2" customFormat="false" ht="12.8" hidden="false" customHeight="false" outlineLevel="0" collapsed="false">
      <c r="A2" s="6" t="s">
        <v>187</v>
      </c>
      <c r="B2" s="6" t="n">
        <v>5134397</v>
      </c>
      <c r="C2" s="6" t="n">
        <v>28.6065332960931</v>
      </c>
    </row>
    <row r="3" customFormat="false" ht="12.8" hidden="false" customHeight="false" outlineLevel="0" collapsed="false">
      <c r="A3" s="6" t="s">
        <v>188</v>
      </c>
      <c r="B3" s="6" t="n">
        <v>3035664</v>
      </c>
      <c r="C3" s="6" t="n">
        <v>45.5198774125982</v>
      </c>
    </row>
    <row r="4" customFormat="false" ht="12.8" hidden="false" customHeight="false" outlineLevel="0" collapsed="false">
      <c r="A4" s="6" t="s">
        <v>189</v>
      </c>
      <c r="B4" s="6" t="n">
        <v>1034676</v>
      </c>
      <c r="C4" s="6" t="n">
        <v>51.2846231937811</v>
      </c>
    </row>
    <row r="5" customFormat="false" ht="12.8" hidden="false" customHeight="false" outlineLevel="0" collapsed="false">
      <c r="A5" s="6" t="s">
        <v>190</v>
      </c>
      <c r="B5" s="6" t="n">
        <v>605995</v>
      </c>
      <c r="C5" s="6" t="n">
        <v>54.6609527111063</v>
      </c>
    </row>
    <row r="6" customFormat="false" ht="12.8" hidden="false" customHeight="false" outlineLevel="0" collapsed="false">
      <c r="A6" s="6" t="s">
        <v>191</v>
      </c>
      <c r="B6" s="6" t="n">
        <v>593031</v>
      </c>
      <c r="C6" s="6" t="n">
        <v>57.9650526954113</v>
      </c>
    </row>
    <row r="7" customFormat="false" ht="12.8" hidden="false" customHeight="false" outlineLevel="0" collapsed="false">
      <c r="A7" s="6" t="s">
        <v>192</v>
      </c>
      <c r="B7" s="6" t="n">
        <v>583338</v>
      </c>
      <c r="C7" s="6" t="n">
        <v>61.2151476763558</v>
      </c>
    </row>
    <row r="8" customFormat="false" ht="12.8" hidden="false" customHeight="false" outlineLevel="0" collapsed="false">
      <c r="A8" s="6" t="s">
        <v>193</v>
      </c>
      <c r="B8" s="6" t="n">
        <v>506091</v>
      </c>
      <c r="C8" s="6" t="n">
        <v>64.034857379823</v>
      </c>
    </row>
    <row r="9" customFormat="false" ht="12.8" hidden="false" customHeight="false" outlineLevel="0" collapsed="false">
      <c r="A9" s="6" t="s">
        <v>194</v>
      </c>
      <c r="B9" s="6" t="n">
        <v>482878</v>
      </c>
      <c r="C9" s="6" t="n">
        <v>66.7252347668756</v>
      </c>
    </row>
    <row r="10" customFormat="false" ht="12.8" hidden="false" customHeight="false" outlineLevel="0" collapsed="false">
      <c r="A10" s="6" t="s">
        <v>195</v>
      </c>
      <c r="B10" s="6" t="n">
        <v>373869</v>
      </c>
      <c r="C10" s="6" t="n">
        <v>68.8082634062421</v>
      </c>
    </row>
    <row r="11" customFormat="false" ht="12.8" hidden="false" customHeight="false" outlineLevel="0" collapsed="false">
      <c r="A11" s="6" t="s">
        <v>196</v>
      </c>
      <c r="B11" s="6" t="n">
        <v>367958</v>
      </c>
      <c r="C11" s="6" t="n">
        <v>70.8583586323346</v>
      </c>
    </row>
    <row r="12" customFormat="false" ht="12.8" hidden="false" customHeight="false" outlineLevel="0" collapsed="false">
      <c r="A12" s="6" t="s">
        <v>197</v>
      </c>
      <c r="B12" s="6" t="n">
        <v>295277</v>
      </c>
      <c r="C12" s="6" t="n">
        <v>72.5035082637461</v>
      </c>
    </row>
    <row r="13" customFormat="false" ht="12.8" hidden="false" customHeight="false" outlineLevel="0" collapsed="false">
      <c r="A13" s="6" t="s">
        <v>198</v>
      </c>
      <c r="B13" s="6" t="n">
        <v>247026</v>
      </c>
      <c r="C13" s="6" t="n">
        <v>73.8798251893755</v>
      </c>
    </row>
    <row r="14" customFormat="false" ht="12.8" hidden="false" customHeight="false" outlineLevel="0" collapsed="false">
      <c r="A14" s="6" t="s">
        <v>199</v>
      </c>
      <c r="B14" s="6" t="n">
        <v>195094</v>
      </c>
      <c r="C14" s="6" t="n">
        <v>74.9668005453653</v>
      </c>
    </row>
    <row r="15" customFormat="false" ht="12.8" hidden="false" customHeight="false" outlineLevel="0" collapsed="false">
      <c r="A15" s="6" t="s">
        <v>200</v>
      </c>
      <c r="B15" s="6" t="n">
        <v>192174</v>
      </c>
      <c r="C15" s="6" t="n">
        <v>76.0375069846304</v>
      </c>
    </row>
    <row r="16" customFormat="false" ht="12.8" hidden="false" customHeight="false" outlineLevel="0" collapsed="false">
      <c r="A16" s="6" t="s">
        <v>201</v>
      </c>
      <c r="B16" s="6" t="n">
        <v>149080</v>
      </c>
      <c r="C16" s="6" t="n">
        <v>76.8681131850823</v>
      </c>
    </row>
    <row r="17" customFormat="false" ht="12.8" hidden="false" customHeight="false" outlineLevel="0" collapsed="false">
      <c r="A17" s="6" t="s">
        <v>202</v>
      </c>
      <c r="B17" s="6" t="n">
        <v>146140</v>
      </c>
      <c r="C17" s="6" t="n">
        <v>77.682339037873</v>
      </c>
    </row>
    <row r="18" customFormat="false" ht="12.8" hidden="false" customHeight="false" outlineLevel="0" collapsed="false">
      <c r="A18" s="6" t="s">
        <v>203</v>
      </c>
      <c r="B18" s="6" t="n">
        <v>140391</v>
      </c>
      <c r="C18" s="6" t="n">
        <v>78.4645340679752</v>
      </c>
    </row>
    <row r="19" customFormat="false" ht="12.8" hidden="false" customHeight="false" outlineLevel="0" collapsed="false">
      <c r="A19" s="6" t="s">
        <v>204</v>
      </c>
      <c r="B19" s="6" t="n">
        <v>139994</v>
      </c>
      <c r="C19" s="6" t="n">
        <v>79.2445171939885</v>
      </c>
    </row>
    <row r="20" customFormat="false" ht="12.8" hidden="false" customHeight="false" outlineLevel="0" collapsed="false">
      <c r="A20" s="6" t="s">
        <v>205</v>
      </c>
      <c r="B20" s="6" t="n">
        <v>126861</v>
      </c>
      <c r="C20" s="6" t="n">
        <v>79.9513291955684</v>
      </c>
    </row>
    <row r="21" customFormat="false" ht="12.8" hidden="false" customHeight="false" outlineLevel="0" collapsed="false">
      <c r="A21" s="6" t="s">
        <v>206</v>
      </c>
      <c r="B21" s="6" t="n">
        <v>125426</v>
      </c>
      <c r="C21" s="6" t="n">
        <v>80.6501460274565</v>
      </c>
    </row>
    <row r="22" customFormat="false" ht="12.8" hidden="false" customHeight="false" outlineLevel="0" collapsed="false">
      <c r="A22" s="6" t="s">
        <v>207</v>
      </c>
      <c r="B22" s="6" t="n">
        <v>121398</v>
      </c>
      <c r="C22" s="6" t="n">
        <v>81.3265206687394</v>
      </c>
    </row>
    <row r="23" customFormat="false" ht="12.8" hidden="false" customHeight="false" outlineLevel="0" collapsed="false">
      <c r="A23" s="6" t="s">
        <v>208</v>
      </c>
      <c r="B23" s="6" t="n">
        <v>93657</v>
      </c>
      <c r="C23" s="6" t="n">
        <v>81.8483350295908</v>
      </c>
    </row>
    <row r="24" customFormat="false" ht="12.8" hidden="false" customHeight="false" outlineLevel="0" collapsed="false">
      <c r="A24" s="6" t="s">
        <v>209</v>
      </c>
      <c r="B24" s="6" t="n">
        <v>91813</v>
      </c>
      <c r="C24" s="6" t="n">
        <v>82.3598754580995</v>
      </c>
    </row>
    <row r="25" customFormat="false" ht="12.8" hidden="false" customHeight="false" outlineLevel="0" collapsed="false">
      <c r="A25" s="6" t="s">
        <v>210</v>
      </c>
      <c r="B25" s="6" t="n">
        <v>89796</v>
      </c>
      <c r="C25" s="6" t="n">
        <v>82.8601780766653</v>
      </c>
    </row>
    <row r="26" customFormat="false" ht="12.8" hidden="false" customHeight="false" outlineLevel="0" collapsed="false">
      <c r="A26" s="6" t="s">
        <v>211</v>
      </c>
      <c r="B26" s="6" t="n">
        <v>82573</v>
      </c>
      <c r="C26" s="6" t="n">
        <v>83.3202374125246</v>
      </c>
    </row>
    <row r="27" customFormat="false" ht="12.8" hidden="false" customHeight="false" outlineLevel="0" collapsed="false">
      <c r="A27" s="6" t="s">
        <v>212</v>
      </c>
      <c r="B27" s="6" t="n">
        <v>82192</v>
      </c>
      <c r="C27" s="6" t="n">
        <v>83.7781739890442</v>
      </c>
    </row>
    <row r="28" customFormat="false" ht="12.8" hidden="false" customHeight="false" outlineLevel="0" collapsed="false">
      <c r="A28" s="6" t="s">
        <v>213</v>
      </c>
      <c r="B28" s="6" t="n">
        <v>80882</v>
      </c>
      <c r="C28" s="6" t="n">
        <v>84.228811839225</v>
      </c>
    </row>
    <row r="29" customFormat="false" ht="12.8" hidden="false" customHeight="false" outlineLevel="0" collapsed="false">
      <c r="A29" s="6" t="s">
        <v>214</v>
      </c>
      <c r="B29" s="6" t="n">
        <v>78431</v>
      </c>
      <c r="C29" s="6" t="n">
        <v>84.6657938281413</v>
      </c>
    </row>
    <row r="30" customFormat="false" ht="12.8" hidden="false" customHeight="false" outlineLevel="0" collapsed="false">
      <c r="A30" s="6" t="s">
        <v>215</v>
      </c>
      <c r="B30" s="6" t="n">
        <v>73386</v>
      </c>
      <c r="C30" s="6" t="n">
        <v>85.0746673633329</v>
      </c>
    </row>
    <row r="31" customFormat="false" ht="12.8" hidden="false" customHeight="false" outlineLevel="0" collapsed="false">
      <c r="A31" s="6" t="s">
        <v>216</v>
      </c>
      <c r="B31" s="6" t="n">
        <v>70440</v>
      </c>
      <c r="C31" s="6" t="n">
        <v>85.4671271215824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1" activeCellId="0" sqref="A1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6" width="22.12"/>
  </cols>
  <sheetData>
    <row r="1" customFormat="false" ht="12.8" hidden="false" customHeight="false" outlineLevel="0" collapsed="false">
      <c r="A1" s="6" t="s">
        <v>184</v>
      </c>
      <c r="B1" s="6" t="s">
        <v>217</v>
      </c>
      <c r="C1" s="6" t="s">
        <v>218</v>
      </c>
    </row>
    <row r="2" customFormat="false" ht="12.8" hidden="false" customHeight="false" outlineLevel="0" collapsed="false">
      <c r="A2" s="6" t="s">
        <v>219</v>
      </c>
      <c r="B2" s="6" t="n">
        <v>0.0687022900763359</v>
      </c>
      <c r="C2" s="6" t="n">
        <v>0.169133441165051</v>
      </c>
    </row>
    <row r="3" customFormat="false" ht="12.8" hidden="false" customHeight="false" outlineLevel="0" collapsed="false">
      <c r="A3" s="6" t="s">
        <v>118</v>
      </c>
      <c r="B3" s="6" t="n">
        <v>0.595419847328244</v>
      </c>
      <c r="C3" s="6" t="n">
        <v>0.164145792448626</v>
      </c>
    </row>
    <row r="4" customFormat="false" ht="12.8" hidden="false" customHeight="false" outlineLevel="0" collapsed="false">
      <c r="A4" s="6" t="s">
        <v>220</v>
      </c>
      <c r="B4" s="6" t="n">
        <v>0.763358778625954</v>
      </c>
      <c r="C4" s="6" t="n">
        <v>0.0519146147077582</v>
      </c>
    </row>
    <row r="5" customFormat="false" ht="12.8" hidden="false" customHeight="false" outlineLevel="0" collapsed="false">
      <c r="A5" s="6" t="s">
        <v>221</v>
      </c>
      <c r="B5" s="6" t="n">
        <v>0.0648854961832061</v>
      </c>
      <c r="C5" s="6" t="n">
        <v>0.0316334599690211</v>
      </c>
    </row>
    <row r="6" customFormat="false" ht="12.8" hidden="false" customHeight="false" outlineLevel="0" collapsed="false">
      <c r="A6" s="6" t="s">
        <v>222</v>
      </c>
      <c r="B6" s="6" t="n">
        <v>0.083969465648855</v>
      </c>
      <c r="C6" s="6" t="n">
        <v>0.0279544004550394</v>
      </c>
    </row>
    <row r="7" customFormat="false" ht="12.8" hidden="false" customHeight="false" outlineLevel="0" collapsed="false">
      <c r="A7" s="6" t="s">
        <v>223</v>
      </c>
      <c r="B7" s="6" t="n">
        <v>0.786259541984733</v>
      </c>
      <c r="C7" s="6" t="n">
        <v>0.0254628047155567</v>
      </c>
    </row>
    <row r="8" customFormat="false" ht="12.8" hidden="false" customHeight="false" outlineLevel="0" collapsed="false">
      <c r="A8" s="6" t="s">
        <v>224</v>
      </c>
      <c r="B8" s="6" t="n">
        <v>0.351145038167939</v>
      </c>
      <c r="C8" s="6" t="n">
        <v>0.018583170128798</v>
      </c>
    </row>
    <row r="9" customFormat="false" ht="12.8" hidden="false" customHeight="false" outlineLevel="0" collapsed="false">
      <c r="A9" s="6" t="s">
        <v>225</v>
      </c>
      <c r="B9" s="6" t="n">
        <v>0.774809160305344</v>
      </c>
      <c r="C9" s="6" t="n">
        <v>0.0179314662968497</v>
      </c>
    </row>
    <row r="10" customFormat="false" ht="12.8" hidden="false" customHeight="false" outlineLevel="0" collapsed="false">
      <c r="A10" s="6" t="s">
        <v>226</v>
      </c>
      <c r="B10" s="6" t="n">
        <v>0.461832061068702</v>
      </c>
      <c r="C10" s="6" t="n">
        <v>0.0137316900167408</v>
      </c>
    </row>
    <row r="11" customFormat="false" ht="12.8" hidden="false" customHeight="false" outlineLevel="0" collapsed="false">
      <c r="A11" s="6" t="s">
        <v>227</v>
      </c>
      <c r="B11" s="6" t="n">
        <v>0.225190839694656</v>
      </c>
      <c r="C11" s="6" t="n">
        <v>0.0128182906304913</v>
      </c>
    </row>
    <row r="12" customFormat="false" ht="12.8" hidden="false" customHeight="false" outlineLevel="0" collapsed="false">
      <c r="A12" s="6" t="s">
        <v>228</v>
      </c>
      <c r="B12" s="6" t="n">
        <v>0.347328244274809</v>
      </c>
      <c r="C12" s="6" t="n">
        <v>0.0123695582493242</v>
      </c>
    </row>
    <row r="13" customFormat="false" ht="12.8" hidden="false" customHeight="false" outlineLevel="0" collapsed="false">
      <c r="A13" s="6" t="s">
        <v>229</v>
      </c>
      <c r="B13" s="6" t="n">
        <v>0.729007633587786</v>
      </c>
      <c r="C13" s="6" t="n">
        <v>0.0122291552693712</v>
      </c>
    </row>
    <row r="14" customFormat="false" ht="12.8" hidden="false" customHeight="false" outlineLevel="0" collapsed="false">
      <c r="A14" s="6" t="s">
        <v>230</v>
      </c>
      <c r="B14" s="6" t="n">
        <v>0.675572519083969</v>
      </c>
      <c r="C14" s="6" t="n">
        <v>0.0120100263328018</v>
      </c>
    </row>
    <row r="15" customFormat="false" ht="12.8" hidden="false" customHeight="false" outlineLevel="0" collapsed="false">
      <c r="A15" s="6" t="s">
        <v>231</v>
      </c>
      <c r="B15" s="6" t="n">
        <v>0.286259541984733</v>
      </c>
      <c r="C15" s="6" t="n">
        <v>0.00996404290826498</v>
      </c>
    </row>
    <row r="16" customFormat="false" ht="12.8" hidden="false" customHeight="false" outlineLevel="0" collapsed="false">
      <c r="A16" s="6" t="s">
        <v>232</v>
      </c>
      <c r="B16" s="6" t="n">
        <v>0.687022900763359</v>
      </c>
      <c r="C16" s="6" t="n">
        <v>0.00940577391654725</v>
      </c>
    </row>
    <row r="17" customFormat="false" ht="12.8" hidden="false" customHeight="false" outlineLevel="0" collapsed="false">
      <c r="A17" s="6" t="s">
        <v>233</v>
      </c>
      <c r="B17" s="6" t="n">
        <v>0.305343511450382</v>
      </c>
      <c r="C17" s="6" t="n">
        <v>0.00868620864428833</v>
      </c>
    </row>
    <row r="18" customFormat="false" ht="12.8" hidden="false" customHeight="false" outlineLevel="0" collapsed="false">
      <c r="A18" s="6" t="s">
        <v>234</v>
      </c>
      <c r="B18" s="6" t="n">
        <v>0.152671755725191</v>
      </c>
      <c r="C18" s="6" t="n">
        <v>0.00848212288414241</v>
      </c>
    </row>
    <row r="19" customFormat="false" ht="12.8" hidden="false" customHeight="false" outlineLevel="0" collapsed="false">
      <c r="A19" s="6" t="s">
        <v>235</v>
      </c>
      <c r="B19" s="6" t="n">
        <v>0.099236641221374</v>
      </c>
      <c r="C19" s="6" t="n">
        <v>0.0080176230254647</v>
      </c>
    </row>
    <row r="20" customFormat="false" ht="12.8" hidden="false" customHeight="false" outlineLevel="0" collapsed="false">
      <c r="A20" s="6" t="s">
        <v>146</v>
      </c>
      <c r="B20" s="6" t="n">
        <v>0.270992366412214</v>
      </c>
      <c r="C20" s="6" t="n">
        <v>0.00782195030102232</v>
      </c>
    </row>
    <row r="21" customFormat="false" ht="12.8" hidden="false" customHeight="false" outlineLevel="0" collapsed="false">
      <c r="A21" s="6" t="s">
        <v>236</v>
      </c>
      <c r="B21" s="6" t="n">
        <v>0.0877862595419847</v>
      </c>
      <c r="C21" s="6" t="n">
        <v>0.0077998312601329</v>
      </c>
    </row>
    <row r="22" customFormat="false" ht="12.8" hidden="false" customHeight="false" outlineLevel="0" collapsed="false">
      <c r="A22" s="6" t="s">
        <v>237</v>
      </c>
      <c r="B22" s="6" t="n">
        <v>0.656488549618321</v>
      </c>
      <c r="C22" s="6" t="n">
        <v>0.00713843293671163</v>
      </c>
    </row>
    <row r="23" customFormat="false" ht="12.8" hidden="false" customHeight="false" outlineLevel="0" collapsed="false">
      <c r="A23" s="6" t="s">
        <v>238</v>
      </c>
      <c r="B23" s="6" t="n">
        <v>0.690839694656489</v>
      </c>
      <c r="C23" s="6" t="n">
        <v>0.0068038058344904</v>
      </c>
    </row>
    <row r="24" customFormat="false" ht="12.8" hidden="false" customHeight="false" outlineLevel="0" collapsed="false">
      <c r="A24" s="6" t="s">
        <v>239</v>
      </c>
      <c r="B24" s="6" t="n">
        <v>0.767175572519084</v>
      </c>
      <c r="C24" s="6" t="n">
        <v>0.00659403709658449</v>
      </c>
    </row>
    <row r="25" customFormat="false" ht="12.8" hidden="false" customHeight="false" outlineLevel="0" collapsed="false">
      <c r="A25" s="6" t="s">
        <v>240</v>
      </c>
      <c r="B25" s="6" t="n">
        <v>0.278625954198473</v>
      </c>
      <c r="C25" s="6" t="n">
        <v>0.00553321458138434</v>
      </c>
    </row>
    <row r="26" customFormat="false" ht="12.8" hidden="false" customHeight="false" outlineLevel="0" collapsed="false">
      <c r="A26" s="6" t="s">
        <v>241</v>
      </c>
      <c r="B26" s="6" t="n">
        <v>0.50763358778626</v>
      </c>
      <c r="C26" s="6" t="n">
        <v>0.00543537821916315</v>
      </c>
    </row>
    <row r="27" customFormat="false" ht="12.8" hidden="false" customHeight="false" outlineLevel="0" collapsed="false">
      <c r="A27" s="6" t="s">
        <v>242</v>
      </c>
      <c r="B27" s="6" t="n">
        <v>0.244274809160305</v>
      </c>
      <c r="C27" s="6" t="n">
        <v>0.00542111505929491</v>
      </c>
    </row>
    <row r="28" customFormat="false" ht="12.8" hidden="false" customHeight="false" outlineLevel="0" collapsed="false">
      <c r="A28" s="6" t="s">
        <v>99</v>
      </c>
      <c r="B28" s="6" t="n">
        <v>0.435114503816794</v>
      </c>
      <c r="C28" s="6" t="n">
        <v>0.004869197630956</v>
      </c>
    </row>
    <row r="29" customFormat="false" ht="12.8" hidden="false" customHeight="false" outlineLevel="0" collapsed="false">
      <c r="A29" s="6" t="s">
        <v>243</v>
      </c>
      <c r="B29" s="6" t="n">
        <v>0.118320610687023</v>
      </c>
      <c r="C29" s="6" t="n">
        <v>0.0045390277661936</v>
      </c>
    </row>
    <row r="30" customFormat="false" ht="12.8" hidden="false" customHeight="false" outlineLevel="0" collapsed="false">
      <c r="A30" s="6" t="s">
        <v>244</v>
      </c>
      <c r="B30" s="6" t="n">
        <v>0.0954198473282443</v>
      </c>
      <c r="C30" s="6" t="n">
        <v>0.00444977158608065</v>
      </c>
    </row>
    <row r="31" customFormat="false" ht="12.8" hidden="false" customHeight="false" outlineLevel="0" collapsed="false">
      <c r="A31" s="6" t="s">
        <v>245</v>
      </c>
      <c r="B31" s="6" t="n">
        <v>0.614503816793893</v>
      </c>
      <c r="C31" s="6" t="n">
        <v>0.0042039549402265</v>
      </c>
    </row>
    <row r="32" customFormat="false" ht="12.8" hidden="false" customHeight="false" outlineLevel="0" collapsed="false">
      <c r="A32" s="6" t="s">
        <v>246</v>
      </c>
      <c r="B32" s="6" t="n">
        <v>0.290076335877863</v>
      </c>
      <c r="C32" s="6" t="n">
        <v>0.00411442018277237</v>
      </c>
    </row>
    <row r="33" customFormat="false" ht="12.8" hidden="false" customHeight="false" outlineLevel="0" collapsed="false">
      <c r="A33" s="6" t="s">
        <v>247</v>
      </c>
      <c r="B33" s="6" t="n">
        <v>0.282442748091603</v>
      </c>
      <c r="C33" s="6" t="n">
        <v>0.00386715493474409</v>
      </c>
    </row>
    <row r="34" customFormat="false" ht="12.8" hidden="false" customHeight="false" outlineLevel="0" collapsed="false">
      <c r="A34" s="6" t="s">
        <v>248</v>
      </c>
      <c r="B34" s="6" t="n">
        <v>0.67175572519084</v>
      </c>
      <c r="C34" s="6" t="n">
        <v>0.00376541848974643</v>
      </c>
    </row>
    <row r="35" customFormat="false" ht="12.8" hidden="false" customHeight="false" outlineLevel="0" collapsed="false">
      <c r="A35" s="6" t="s">
        <v>249</v>
      </c>
      <c r="B35" s="6" t="n">
        <v>0.0801526717557252</v>
      </c>
      <c r="C35" s="6" t="n">
        <v>0.00374146083840525</v>
      </c>
    </row>
    <row r="36" customFormat="false" ht="12.8" hidden="false" customHeight="false" outlineLevel="0" collapsed="false">
      <c r="A36" s="6" t="s">
        <v>250</v>
      </c>
      <c r="B36" s="6" t="n">
        <v>0.717557251908397</v>
      </c>
      <c r="C36" s="6" t="n">
        <v>0.00363075420302171</v>
      </c>
    </row>
    <row r="37" customFormat="false" ht="12.8" hidden="false" customHeight="false" outlineLevel="0" collapsed="false">
      <c r="A37" s="6" t="s">
        <v>251</v>
      </c>
      <c r="B37" s="6" t="n">
        <v>0.431297709923664</v>
      </c>
      <c r="C37" s="6" t="n">
        <v>0.0036004449883017</v>
      </c>
    </row>
    <row r="38" customFormat="false" ht="12.8" hidden="false" customHeight="false" outlineLevel="0" collapsed="false">
      <c r="A38" s="6" t="s">
        <v>252</v>
      </c>
      <c r="B38" s="6" t="n">
        <v>0.0763358778625954</v>
      </c>
      <c r="C38" s="6" t="n">
        <v>0.00352818202600051</v>
      </c>
    </row>
    <row r="39" customFormat="false" ht="12.8" hidden="false" customHeight="false" outlineLevel="0" collapsed="false">
      <c r="A39" s="6" t="s">
        <v>253</v>
      </c>
      <c r="B39" s="6" t="n">
        <v>0.187022900763359</v>
      </c>
      <c r="C39" s="6" t="n">
        <v>0.00340059360374167</v>
      </c>
    </row>
    <row r="40" customFormat="false" ht="12.8" hidden="false" customHeight="false" outlineLevel="0" collapsed="false">
      <c r="A40" s="6" t="s">
        <v>254</v>
      </c>
      <c r="B40" s="6" t="n">
        <v>0.236641221374046</v>
      </c>
      <c r="C40" s="6" t="n">
        <v>0.00330119720840989</v>
      </c>
    </row>
    <row r="41" customFormat="false" ht="12.8" hidden="false" customHeight="false" outlineLevel="0" collapsed="false">
      <c r="A41" s="6" t="s">
        <v>255</v>
      </c>
      <c r="B41" s="6" t="n">
        <v>0.0572519083969466</v>
      </c>
      <c r="C41" s="6" t="n">
        <v>0.00322804279861694</v>
      </c>
    </row>
    <row r="42" customFormat="false" ht="12.8" hidden="false" customHeight="false" outlineLevel="0" collapsed="false">
      <c r="A42" s="6" t="s">
        <v>256</v>
      </c>
      <c r="B42" s="6" t="n">
        <v>0.16030534351145</v>
      </c>
      <c r="C42" s="6" t="n">
        <v>0.00314853682544517</v>
      </c>
    </row>
    <row r="43" customFormat="false" ht="12.8" hidden="false" customHeight="false" outlineLevel="0" collapsed="false">
      <c r="A43" s="6" t="s">
        <v>257</v>
      </c>
      <c r="B43" s="6" t="n">
        <v>0.0725190839694656</v>
      </c>
      <c r="C43" s="6" t="n">
        <v>0.00310775310269692</v>
      </c>
    </row>
    <row r="44" customFormat="false" ht="12.8" hidden="false" customHeight="false" outlineLevel="0" collapsed="false">
      <c r="A44" s="6" t="s">
        <v>258</v>
      </c>
      <c r="B44" s="6" t="n">
        <v>0.217557251908397</v>
      </c>
      <c r="C44" s="6" t="n">
        <v>0.00302161698880515</v>
      </c>
    </row>
    <row r="45" customFormat="false" ht="12.8" hidden="false" customHeight="false" outlineLevel="0" collapsed="false">
      <c r="A45" s="6" t="s">
        <v>259</v>
      </c>
      <c r="B45" s="6" t="n">
        <v>0.729007633587786</v>
      </c>
      <c r="C45" s="6" t="n">
        <v>0.00295659703737455</v>
      </c>
    </row>
    <row r="46" customFormat="false" ht="12.8" hidden="false" customHeight="false" outlineLevel="0" collapsed="false">
      <c r="A46" s="6" t="s">
        <v>260</v>
      </c>
      <c r="B46" s="6" t="n">
        <v>0.148854961832061</v>
      </c>
      <c r="C46" s="6" t="n">
        <v>0.0029550927197322</v>
      </c>
    </row>
    <row r="47" customFormat="false" ht="12.8" hidden="false" customHeight="false" outlineLevel="0" collapsed="false">
      <c r="A47" s="6" t="s">
        <v>261</v>
      </c>
      <c r="B47" s="6" t="n">
        <v>0.50381679389313</v>
      </c>
      <c r="C47" s="6" t="n">
        <v>0.00295498128879573</v>
      </c>
    </row>
    <row r="48" customFormat="false" ht="12.8" hidden="false" customHeight="false" outlineLevel="0" collapsed="false">
      <c r="A48" s="6" t="s">
        <v>127</v>
      </c>
      <c r="B48" s="6" t="n">
        <v>0.393129770992366</v>
      </c>
      <c r="C48" s="6" t="n">
        <v>0.00295392269489925</v>
      </c>
    </row>
    <row r="49" customFormat="false" ht="12.8" hidden="false" customHeight="false" outlineLevel="0" collapsed="false">
      <c r="A49" s="6" t="s">
        <v>262</v>
      </c>
      <c r="B49" s="6" t="n">
        <v>0.469465648854962</v>
      </c>
      <c r="C49" s="6" t="n">
        <v>0.00283140438024982</v>
      </c>
    </row>
    <row r="50" customFormat="false" ht="12.8" hidden="false" customHeight="false" outlineLevel="0" collapsed="false">
      <c r="A50" s="6" t="s">
        <v>263</v>
      </c>
      <c r="B50" s="6" t="n">
        <v>0.156488549618321</v>
      </c>
      <c r="C50" s="6" t="n">
        <v>0.00250173595470154</v>
      </c>
    </row>
    <row r="51" customFormat="false" ht="12.8" hidden="false" customHeight="false" outlineLevel="0" collapsed="false">
      <c r="A51" s="6" t="s">
        <v>264</v>
      </c>
      <c r="B51" s="6" t="n">
        <v>0.580152671755725</v>
      </c>
      <c r="C51" s="6" t="n">
        <v>0.00239604371145917</v>
      </c>
    </row>
    <row r="52" customFormat="false" ht="12.8" hidden="false" customHeight="false" outlineLevel="0" collapsed="false">
      <c r="A52" s="6" t="s">
        <v>265</v>
      </c>
      <c r="B52" s="6" t="n">
        <v>0.274809160305344</v>
      </c>
      <c r="C52" s="6" t="n">
        <v>0.00238161340518623</v>
      </c>
    </row>
    <row r="53" customFormat="false" ht="12.8" hidden="false" customHeight="false" outlineLevel="0" collapsed="false">
      <c r="A53" s="6" t="s">
        <v>266</v>
      </c>
      <c r="B53" s="6" t="n">
        <v>0.267175572519084</v>
      </c>
      <c r="C53" s="6" t="n">
        <v>0.00235888149414623</v>
      </c>
    </row>
    <row r="54" customFormat="false" ht="12.8" hidden="false" customHeight="false" outlineLevel="0" collapsed="false">
      <c r="A54" s="6" t="s">
        <v>267</v>
      </c>
      <c r="B54" s="6" t="n">
        <v>0.175572519083969</v>
      </c>
      <c r="C54" s="6" t="n">
        <v>0.00224951203000033</v>
      </c>
    </row>
    <row r="55" customFormat="false" ht="12.8" hidden="false" customHeight="false" outlineLevel="0" collapsed="false">
      <c r="A55" s="6" t="s">
        <v>105</v>
      </c>
      <c r="B55" s="6" t="n">
        <v>0.232824427480916</v>
      </c>
      <c r="C55" s="6" t="n">
        <v>0.00205356072821677</v>
      </c>
    </row>
    <row r="56" customFormat="false" ht="12.8" hidden="false" customHeight="false" outlineLevel="0" collapsed="false">
      <c r="A56" s="6" t="s">
        <v>268</v>
      </c>
      <c r="B56" s="6" t="n">
        <v>0.213740458015267</v>
      </c>
      <c r="C56" s="6" t="n">
        <v>0.00200480969351088</v>
      </c>
    </row>
    <row r="57" customFormat="false" ht="12.8" hidden="false" customHeight="false" outlineLevel="0" collapsed="false">
      <c r="A57" s="6" t="s">
        <v>269</v>
      </c>
      <c r="B57" s="6" t="n">
        <v>0.450381679389313</v>
      </c>
      <c r="C57" s="6" t="n">
        <v>0.00197672909752029</v>
      </c>
    </row>
    <row r="58" customFormat="false" ht="12.8" hidden="false" customHeight="false" outlineLevel="0" collapsed="false">
      <c r="A58" s="6" t="s">
        <v>270</v>
      </c>
      <c r="B58" s="6" t="n">
        <v>0.0687022900763359</v>
      </c>
      <c r="C58" s="6" t="n">
        <v>0.00196458312544499</v>
      </c>
    </row>
    <row r="59" customFormat="false" ht="12.8" hidden="false" customHeight="false" outlineLevel="0" collapsed="false">
      <c r="A59" s="6" t="s">
        <v>271</v>
      </c>
      <c r="B59" s="6" t="n">
        <v>0.709923664122137</v>
      </c>
      <c r="C59" s="6" t="n">
        <v>0.00196374739342146</v>
      </c>
    </row>
    <row r="60" customFormat="false" ht="12.8" hidden="false" customHeight="false" outlineLevel="0" collapsed="false">
      <c r="A60" s="6" t="s">
        <v>272</v>
      </c>
      <c r="B60" s="6" t="n">
        <v>0.50381679389313</v>
      </c>
      <c r="C60" s="6" t="n">
        <v>0.00195483291850381</v>
      </c>
    </row>
    <row r="61" customFormat="false" ht="12.8" hidden="false" customHeight="false" outlineLevel="0" collapsed="false">
      <c r="A61" s="6" t="s">
        <v>273</v>
      </c>
      <c r="B61" s="6" t="n">
        <v>0.580152671755725</v>
      </c>
      <c r="C61" s="6" t="n">
        <v>0.00194842563965675</v>
      </c>
    </row>
    <row r="62" customFormat="false" ht="12.8" hidden="false" customHeight="false" outlineLevel="0" collapsed="false">
      <c r="A62" s="6" t="s">
        <v>274</v>
      </c>
      <c r="B62" s="6" t="n">
        <v>0.290076335877863</v>
      </c>
      <c r="C62" s="6" t="n">
        <v>0.00191872929508734</v>
      </c>
    </row>
    <row r="63" customFormat="false" ht="12.8" hidden="false" customHeight="false" outlineLevel="0" collapsed="false">
      <c r="A63" s="6" t="s">
        <v>275</v>
      </c>
      <c r="B63" s="6" t="n">
        <v>0.209923664122137</v>
      </c>
      <c r="C63" s="6" t="n">
        <v>0.00170896055718143</v>
      </c>
    </row>
    <row r="64" customFormat="false" ht="12.8" hidden="false" customHeight="false" outlineLevel="0" collapsed="false">
      <c r="A64" s="6" t="s">
        <v>276</v>
      </c>
      <c r="B64" s="6" t="n">
        <v>0.0763358778625954</v>
      </c>
      <c r="C64" s="6" t="n">
        <v>0.00167502983702613</v>
      </c>
    </row>
    <row r="65" customFormat="false" ht="12.8" hidden="false" customHeight="false" outlineLevel="0" collapsed="false">
      <c r="A65" s="6" t="s">
        <v>277</v>
      </c>
      <c r="B65" s="6" t="n">
        <v>0.103053435114504</v>
      </c>
      <c r="C65" s="6" t="n">
        <v>0.00162070725549671</v>
      </c>
    </row>
    <row r="66" customFormat="false" ht="12.8" hidden="false" customHeight="false" outlineLevel="0" collapsed="false">
      <c r="A66" s="6" t="s">
        <v>278</v>
      </c>
      <c r="B66" s="6" t="n">
        <v>0.152671755725191</v>
      </c>
      <c r="C66" s="6" t="n">
        <v>0.00157919923166141</v>
      </c>
    </row>
    <row r="67" customFormat="false" ht="12.8" hidden="false" customHeight="false" outlineLevel="0" collapsed="false">
      <c r="A67" s="6" t="s">
        <v>279</v>
      </c>
      <c r="B67" s="6" t="n">
        <v>0.412213740458015</v>
      </c>
      <c r="C67" s="6" t="n">
        <v>0.00156415605523788</v>
      </c>
    </row>
    <row r="68" customFormat="false" ht="12.8" hidden="false" customHeight="false" outlineLevel="0" collapsed="false">
      <c r="A68" s="6" t="s">
        <v>280</v>
      </c>
      <c r="B68" s="6" t="n">
        <v>0.0534351145038168</v>
      </c>
      <c r="C68" s="6" t="n">
        <v>0.00154766427664023</v>
      </c>
    </row>
    <row r="69" customFormat="false" ht="12.8" hidden="false" customHeight="false" outlineLevel="0" collapsed="false">
      <c r="A69" s="6" t="s">
        <v>281</v>
      </c>
      <c r="B69" s="6" t="n">
        <v>0.240458015267176</v>
      </c>
      <c r="C69" s="6" t="n">
        <v>0.00153741263048493</v>
      </c>
    </row>
    <row r="70" customFormat="false" ht="12.8" hidden="false" customHeight="false" outlineLevel="0" collapsed="false">
      <c r="A70" s="6" t="s">
        <v>112</v>
      </c>
      <c r="B70" s="6" t="n">
        <v>0.358778625954198</v>
      </c>
      <c r="C70" s="6" t="n">
        <v>0.00152632525230611</v>
      </c>
    </row>
    <row r="71" customFormat="false" ht="12.8" hidden="false" customHeight="false" outlineLevel="0" collapsed="false">
      <c r="A71" s="6" t="s">
        <v>282</v>
      </c>
      <c r="B71" s="6" t="n">
        <v>0.251908396946565</v>
      </c>
      <c r="C71" s="6" t="n">
        <v>0.00151456928850846</v>
      </c>
    </row>
    <row r="72" customFormat="false" ht="12.8" hidden="false" customHeight="false" outlineLevel="0" collapsed="false">
      <c r="A72" s="6" t="s">
        <v>283</v>
      </c>
      <c r="B72" s="6" t="n">
        <v>0.324427480916031</v>
      </c>
      <c r="C72" s="6" t="n">
        <v>0.0015035933412661</v>
      </c>
    </row>
    <row r="73" customFormat="false" ht="12.8" hidden="false" customHeight="false" outlineLevel="0" collapsed="false">
      <c r="A73" s="6" t="s">
        <v>284</v>
      </c>
      <c r="B73" s="6" t="n">
        <v>0.0534351145038168</v>
      </c>
      <c r="C73" s="6" t="n">
        <v>0.00150186616175081</v>
      </c>
    </row>
    <row r="74" customFormat="false" ht="12.8" hidden="false" customHeight="false" outlineLevel="0" collapsed="false">
      <c r="A74" s="6" t="s">
        <v>285</v>
      </c>
      <c r="B74" s="6" t="n">
        <v>0.637404580152672</v>
      </c>
      <c r="C74" s="6" t="n">
        <v>0.00145656948607551</v>
      </c>
    </row>
    <row r="75" customFormat="false" ht="12.8" hidden="false" customHeight="false" outlineLevel="0" collapsed="false">
      <c r="A75" s="6" t="s">
        <v>286</v>
      </c>
      <c r="B75" s="6" t="n">
        <v>0.370229007633588</v>
      </c>
      <c r="C75" s="6" t="n">
        <v>0.00140843132152021</v>
      </c>
    </row>
    <row r="76" customFormat="false" ht="12.8" hidden="false" customHeight="false" outlineLevel="0" collapsed="false">
      <c r="A76" s="6" t="s">
        <v>287</v>
      </c>
      <c r="B76" s="6" t="n">
        <v>0.0687022900763359</v>
      </c>
      <c r="C76" s="6" t="n">
        <v>0.00140753987402844</v>
      </c>
    </row>
    <row r="77" customFormat="false" ht="12.8" hidden="false" customHeight="false" outlineLevel="0" collapsed="false">
      <c r="A77" s="6" t="s">
        <v>288</v>
      </c>
      <c r="B77" s="6" t="n">
        <v>0.354961832061069</v>
      </c>
      <c r="C77" s="6" t="n">
        <v>0.00139338814509667</v>
      </c>
    </row>
    <row r="78" customFormat="false" ht="12.8" hidden="false" customHeight="false" outlineLevel="0" collapsed="false">
      <c r="A78" s="6" t="s">
        <v>98</v>
      </c>
      <c r="B78" s="6" t="n">
        <v>0.400763358778626</v>
      </c>
      <c r="C78" s="6" t="n">
        <v>0.00138826232201903</v>
      </c>
    </row>
    <row r="79" customFormat="false" ht="12.8" hidden="false" customHeight="false" outlineLevel="0" collapsed="false">
      <c r="A79" s="6" t="s">
        <v>289</v>
      </c>
      <c r="B79" s="6" t="n">
        <v>0.0801526717557252</v>
      </c>
      <c r="C79" s="6" t="n">
        <v>0.00136224319835314</v>
      </c>
    </row>
    <row r="80" customFormat="false" ht="12.8" hidden="false" customHeight="false" outlineLevel="0" collapsed="false">
      <c r="A80" s="6" t="s">
        <v>290</v>
      </c>
      <c r="B80" s="6" t="n">
        <v>0.16412213740458</v>
      </c>
      <c r="C80" s="6" t="n">
        <v>0.00135750738355314</v>
      </c>
    </row>
    <row r="81" customFormat="false" ht="12.8" hidden="false" customHeight="false" outlineLevel="0" collapsed="false">
      <c r="A81" s="6" t="s">
        <v>291</v>
      </c>
      <c r="B81" s="6" t="n">
        <v>0.0801526717557252</v>
      </c>
      <c r="C81" s="6" t="n">
        <v>0.0013178379701696</v>
      </c>
    </row>
    <row r="82" customFormat="false" ht="12.8" hidden="false" customHeight="false" outlineLevel="0" collapsed="false">
      <c r="A82" s="6" t="s">
        <v>292</v>
      </c>
      <c r="B82" s="6" t="n">
        <v>0.0877862595419847</v>
      </c>
      <c r="C82" s="6" t="n">
        <v>0.00129454890444725</v>
      </c>
    </row>
    <row r="83" customFormat="false" ht="12.8" hidden="false" customHeight="false" outlineLevel="0" collapsed="false">
      <c r="A83" s="6" t="s">
        <v>293</v>
      </c>
      <c r="B83" s="6" t="n">
        <v>0.232824427480916</v>
      </c>
      <c r="C83" s="6" t="n">
        <v>0.00129449318897901</v>
      </c>
    </row>
    <row r="84" customFormat="false" ht="12.8" hidden="false" customHeight="false" outlineLevel="0" collapsed="false">
      <c r="A84" s="6" t="s">
        <v>294</v>
      </c>
      <c r="B84" s="6" t="n">
        <v>0.263358778625954</v>
      </c>
      <c r="C84" s="6" t="n">
        <v>0.00129304458680489</v>
      </c>
    </row>
    <row r="85" customFormat="false" ht="12.8" hidden="false" customHeight="false" outlineLevel="0" collapsed="false">
      <c r="A85" s="6" t="s">
        <v>295</v>
      </c>
      <c r="B85" s="6" t="n">
        <v>0.221374045801527</v>
      </c>
      <c r="C85" s="6" t="n">
        <v>0.00125844528103077</v>
      </c>
    </row>
    <row r="86" customFormat="false" ht="12.8" hidden="false" customHeight="false" outlineLevel="0" collapsed="false">
      <c r="A86" s="6" t="s">
        <v>296</v>
      </c>
      <c r="B86" s="6" t="n">
        <v>0.209923664122137</v>
      </c>
      <c r="C86" s="6" t="n">
        <v>0.00125064511547783</v>
      </c>
    </row>
    <row r="87" customFormat="false" ht="12.8" hidden="false" customHeight="false" outlineLevel="0" collapsed="false">
      <c r="A87" s="6" t="s">
        <v>297</v>
      </c>
      <c r="B87" s="6" t="n">
        <v>0.541984732824428</v>
      </c>
      <c r="C87" s="6" t="n">
        <v>0.00122947323754841</v>
      </c>
    </row>
    <row r="88" customFormat="false" ht="12.8" hidden="false" customHeight="false" outlineLevel="0" collapsed="false">
      <c r="A88" s="6" t="s">
        <v>298</v>
      </c>
      <c r="B88" s="6" t="n">
        <v>0.213740458015267</v>
      </c>
      <c r="C88" s="6" t="n">
        <v>0.0012251831464943</v>
      </c>
    </row>
    <row r="89" customFormat="false" ht="12.8" hidden="false" customHeight="false" outlineLevel="0" collapsed="false">
      <c r="A89" s="6" t="s">
        <v>299</v>
      </c>
      <c r="B89" s="6" t="n">
        <v>0.0687022900763359</v>
      </c>
      <c r="C89" s="6" t="n">
        <v>0.00122484885368488</v>
      </c>
    </row>
    <row r="90" customFormat="false" ht="12.8" hidden="false" customHeight="false" outlineLevel="0" collapsed="false">
      <c r="A90" s="6" t="s">
        <v>300</v>
      </c>
      <c r="B90" s="6" t="n">
        <v>0.33587786259542</v>
      </c>
      <c r="C90" s="6" t="n">
        <v>0.00121911016045665</v>
      </c>
    </row>
    <row r="91" customFormat="false" ht="12.8" hidden="false" customHeight="false" outlineLevel="0" collapsed="false">
      <c r="A91" s="6" t="s">
        <v>301</v>
      </c>
      <c r="B91" s="6" t="n">
        <v>0.137404580152672</v>
      </c>
      <c r="C91" s="6" t="n">
        <v>0.00121794013562371</v>
      </c>
    </row>
    <row r="92" customFormat="false" ht="12.8" hidden="false" customHeight="false" outlineLevel="0" collapsed="false">
      <c r="A92" s="6" t="s">
        <v>302</v>
      </c>
      <c r="B92" s="6" t="n">
        <v>0.706106870229008</v>
      </c>
      <c r="C92" s="6" t="n">
        <v>0.00120306410560488</v>
      </c>
    </row>
    <row r="93" customFormat="false" ht="12.8" hidden="false" customHeight="false" outlineLevel="0" collapsed="false">
      <c r="A93" s="6" t="s">
        <v>303</v>
      </c>
      <c r="B93" s="6" t="n">
        <v>0.0725190839694656</v>
      </c>
      <c r="C93" s="6" t="n">
        <v>0.00119548680192488</v>
      </c>
    </row>
    <row r="94" customFormat="false" ht="12.8" hidden="false" customHeight="false" outlineLevel="0" collapsed="false">
      <c r="A94" s="6" t="s">
        <v>304</v>
      </c>
      <c r="B94" s="6" t="n">
        <v>0.202290076335878</v>
      </c>
      <c r="C94" s="6" t="n">
        <v>0.00119253388210841</v>
      </c>
    </row>
    <row r="95" customFormat="false" ht="12.8" hidden="false" customHeight="false" outlineLevel="0" collapsed="false">
      <c r="A95" s="6" t="s">
        <v>305</v>
      </c>
      <c r="B95" s="6" t="n">
        <v>0.683206106870229</v>
      </c>
      <c r="C95" s="6" t="n">
        <v>0.00118696233528488</v>
      </c>
    </row>
    <row r="96" customFormat="false" ht="12.8" hidden="false" customHeight="false" outlineLevel="0" collapsed="false">
      <c r="A96" s="6" t="s">
        <v>306</v>
      </c>
      <c r="B96" s="6" t="n">
        <v>0.225190839694656</v>
      </c>
      <c r="C96" s="6" t="n">
        <v>0.00118495657842841</v>
      </c>
    </row>
    <row r="97" customFormat="false" ht="12.8" hidden="false" customHeight="false" outlineLevel="0" collapsed="false">
      <c r="A97" s="6" t="s">
        <v>307</v>
      </c>
      <c r="B97" s="6" t="n">
        <v>0.083969465648855</v>
      </c>
      <c r="C97" s="6" t="n">
        <v>0.00117698926647076</v>
      </c>
    </row>
    <row r="98" customFormat="false" ht="12.8" hidden="false" customHeight="false" outlineLevel="0" collapsed="false">
      <c r="A98" s="6" t="s">
        <v>308</v>
      </c>
      <c r="B98" s="6" t="n">
        <v>0.0801526717557252</v>
      </c>
      <c r="C98" s="6" t="n">
        <v>0.00116517758720488</v>
      </c>
    </row>
    <row r="99" customFormat="false" ht="12.8" hidden="false" customHeight="false" outlineLevel="0" collapsed="false">
      <c r="A99" s="6" t="s">
        <v>309</v>
      </c>
      <c r="B99" s="6" t="n">
        <v>0.183206106870229</v>
      </c>
      <c r="C99" s="6" t="n">
        <v>0.00114461857942605</v>
      </c>
    </row>
    <row r="100" customFormat="false" ht="12.8" hidden="false" customHeight="false" outlineLevel="0" collapsed="false">
      <c r="A100" s="6" t="s">
        <v>310</v>
      </c>
      <c r="B100" s="6" t="n">
        <v>0.278625954198473</v>
      </c>
      <c r="C100" s="6" t="n">
        <v>0.00113609411278605</v>
      </c>
    </row>
    <row r="101" customFormat="false" ht="12.8" hidden="false" customHeight="false" outlineLevel="0" collapsed="false">
      <c r="A101" s="6" t="s">
        <v>311</v>
      </c>
      <c r="B101" s="6" t="n">
        <v>0.137404580152672</v>
      </c>
      <c r="C101" s="6" t="n">
        <v>0.00111776372373663</v>
      </c>
    </row>
    <row r="102" customFormat="false" ht="12.8" hidden="false" customHeight="false" outlineLevel="0" collapsed="false">
      <c r="A102" s="6" t="s">
        <v>312</v>
      </c>
      <c r="B102" s="6" t="n">
        <v>0.0801526717557252</v>
      </c>
      <c r="C102" s="6" t="n">
        <v>0.00111742943092722</v>
      </c>
    </row>
    <row r="103" customFormat="false" ht="12.8" hidden="false" customHeight="false" outlineLevel="0" collapsed="false">
      <c r="A103" s="6" t="s">
        <v>313</v>
      </c>
      <c r="B103" s="6" t="n">
        <v>0.351145038167939</v>
      </c>
      <c r="C103" s="6" t="n">
        <v>0.00108244011687545</v>
      </c>
    </row>
    <row r="104" customFormat="false" ht="12.8" hidden="false" customHeight="false" outlineLevel="0" collapsed="false">
      <c r="A104" s="6" t="s">
        <v>314</v>
      </c>
      <c r="B104" s="6" t="n">
        <v>0.538167938931298</v>
      </c>
      <c r="C104" s="6" t="n">
        <v>0.00107029414480016</v>
      </c>
    </row>
    <row r="105" customFormat="false" ht="12.8" hidden="false" customHeight="false" outlineLevel="0" collapsed="false">
      <c r="A105" s="6" t="s">
        <v>315</v>
      </c>
      <c r="B105" s="6" t="n">
        <v>0.465648854961832</v>
      </c>
      <c r="C105" s="6" t="n">
        <v>0.00105759101804251</v>
      </c>
    </row>
    <row r="106" customFormat="false" ht="12.8" hidden="false" customHeight="false" outlineLevel="0" collapsed="false">
      <c r="A106" s="6" t="s">
        <v>316</v>
      </c>
      <c r="B106" s="6" t="n">
        <v>0.385496183206107</v>
      </c>
      <c r="C106" s="6" t="n">
        <v>0.00105564097665427</v>
      </c>
    </row>
    <row r="107" customFormat="false" ht="12.8" hidden="false" customHeight="false" outlineLevel="0" collapsed="false">
      <c r="A107" s="6" t="s">
        <v>317</v>
      </c>
      <c r="B107" s="6" t="n">
        <v>0.347328244274809</v>
      </c>
      <c r="C107" s="6" t="n">
        <v>0.00105486096009898</v>
      </c>
    </row>
    <row r="108" customFormat="false" ht="12.8" hidden="false" customHeight="false" outlineLevel="0" collapsed="false">
      <c r="A108" s="6" t="s">
        <v>318</v>
      </c>
      <c r="B108" s="6" t="n">
        <v>0.049618320610687</v>
      </c>
      <c r="C108" s="6" t="n">
        <v>0.00103931634446133</v>
      </c>
    </row>
    <row r="109" customFormat="false" ht="12.8" hidden="false" customHeight="false" outlineLevel="0" collapsed="false">
      <c r="A109" s="6" t="s">
        <v>319</v>
      </c>
      <c r="B109" s="6" t="n">
        <v>0.137404580152672</v>
      </c>
      <c r="C109" s="6" t="n">
        <v>0.00103686486385897</v>
      </c>
    </row>
    <row r="110" customFormat="false" ht="12.8" hidden="false" customHeight="false" outlineLevel="0" collapsed="false">
      <c r="A110" s="6" t="s">
        <v>96</v>
      </c>
      <c r="B110" s="6" t="n">
        <v>0.122137404580153</v>
      </c>
      <c r="C110" s="6" t="n">
        <v>0.00102042880072956</v>
      </c>
    </row>
    <row r="111" customFormat="false" ht="12.8" hidden="false" customHeight="false" outlineLevel="0" collapsed="false">
      <c r="A111" s="6" t="s">
        <v>320</v>
      </c>
      <c r="B111" s="6" t="n">
        <v>0.469465648854962</v>
      </c>
      <c r="C111" s="6" t="n">
        <v>0.00101898019855544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6" width="15.99"/>
  </cols>
  <sheetData>
    <row r="1" customFormat="false" ht="12.8" hidden="false" customHeight="false" outlineLevel="0" collapsed="false">
      <c r="A1" s="6" t="s">
        <v>321</v>
      </c>
    </row>
    <row r="2" customFormat="false" ht="12.8" hidden="false" customHeight="false" outlineLevel="0" collapsed="false">
      <c r="A2" s="6" t="s">
        <v>152</v>
      </c>
      <c r="B2" s="6" t="s">
        <v>153</v>
      </c>
      <c r="C2" s="6" t="s">
        <v>160</v>
      </c>
      <c r="D2" s="6" t="s">
        <v>161</v>
      </c>
      <c r="E2" s="6" t="s">
        <v>162</v>
      </c>
      <c r="F2" s="6" t="s">
        <v>159</v>
      </c>
    </row>
    <row r="3" customFormat="false" ht="12.8" hidden="false" customHeight="false" outlineLevel="0" collapsed="false">
      <c r="A3" s="6" t="s">
        <v>322</v>
      </c>
      <c r="B3" s="6" t="n">
        <v>0.276660002455725</v>
      </c>
      <c r="C3" s="6" t="n">
        <v>1.31871793394639</v>
      </c>
      <c r="D3" s="6" t="n">
        <v>1.17438172716505</v>
      </c>
      <c r="E3" s="6" t="n">
        <v>1.48079363726972</v>
      </c>
      <c r="F3" s="3" t="n">
        <v>2.8995008094107E-006</v>
      </c>
    </row>
    <row r="4" customFormat="false" ht="12.8" hidden="false" customHeight="false" outlineLevel="0" collapsed="false">
      <c r="A4" s="6" t="s">
        <v>323</v>
      </c>
      <c r="B4" s="6" t="n">
        <v>-0.0322655474052416</v>
      </c>
      <c r="C4" s="6" t="n">
        <v>0.968249431813671</v>
      </c>
      <c r="D4" s="6" t="n">
        <v>0.86256944135718</v>
      </c>
      <c r="E4" s="6" t="n">
        <v>1.08687708752168</v>
      </c>
      <c r="F4" s="6" t="n">
        <v>0.584258112756577</v>
      </c>
    </row>
    <row r="7" customFormat="false" ht="12.8" hidden="false" customHeight="false" outlineLevel="0" collapsed="false">
      <c r="A7" s="6" t="s">
        <v>167</v>
      </c>
    </row>
    <row r="8" customFormat="false" ht="12.8" hidden="false" customHeight="false" outlineLevel="0" collapsed="false">
      <c r="A8" s="6" t="s">
        <v>152</v>
      </c>
      <c r="B8" s="6" t="s">
        <v>153</v>
      </c>
      <c r="C8" s="6" t="s">
        <v>171</v>
      </c>
      <c r="D8" s="6" t="s">
        <v>161</v>
      </c>
      <c r="E8" s="6" t="s">
        <v>162</v>
      </c>
      <c r="F8" s="6" t="s">
        <v>159</v>
      </c>
    </row>
    <row r="9" customFormat="false" ht="12.8" hidden="false" customHeight="false" outlineLevel="0" collapsed="false">
      <c r="A9" s="6" t="s">
        <v>322</v>
      </c>
      <c r="B9" s="6" t="n">
        <v>0.552290628788466</v>
      </c>
      <c r="C9" s="6" t="n">
        <v>1.73722780777394</v>
      </c>
      <c r="D9" s="6" t="n">
        <v>1.53693730399194</v>
      </c>
      <c r="E9" s="6" t="n">
        <v>1.96361975746466</v>
      </c>
      <c r="F9" s="3" t="n">
        <v>2.44011783097304E-007</v>
      </c>
    </row>
    <row r="10" customFormat="false" ht="12.8" hidden="false" customHeight="false" outlineLevel="0" collapsed="false">
      <c r="A10" s="6" t="s">
        <v>323</v>
      </c>
      <c r="B10" s="6" t="n">
        <v>-0.0550393576729069</v>
      </c>
      <c r="C10" s="6" t="n">
        <v>0.946447897233675</v>
      </c>
      <c r="D10" s="6" t="n">
        <v>0.837328917390006</v>
      </c>
      <c r="E10" s="6" t="n">
        <v>1.06978703777505</v>
      </c>
      <c r="F10" s="6" t="n">
        <v>0.349430090479403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324</v>
      </c>
    </row>
    <row r="2" customFormat="false" ht="12.8" hidden="false" customHeight="false" outlineLevel="0" collapsed="false">
      <c r="A2" s="6" t="s">
        <v>173</v>
      </c>
      <c r="B2" s="6" t="s">
        <v>174</v>
      </c>
      <c r="C2" s="6" t="s">
        <v>175</v>
      </c>
      <c r="D2" s="6" t="s">
        <v>177</v>
      </c>
      <c r="E2" s="6" t="s">
        <v>178</v>
      </c>
      <c r="F2" s="6" t="s">
        <v>10</v>
      </c>
    </row>
    <row r="3" customFormat="false" ht="12.8" hidden="false" customHeight="false" outlineLevel="0" collapsed="false">
      <c r="A3" s="6" t="s">
        <v>52</v>
      </c>
      <c r="B3" s="6" t="n">
        <v>1</v>
      </c>
      <c r="C3" s="6" t="n">
        <v>0.0484526152732806</v>
      </c>
      <c r="D3" s="6" t="n">
        <v>0.742451654769916</v>
      </c>
      <c r="E3" s="6" t="n">
        <v>0.25</v>
      </c>
      <c r="F3" s="6" t="n">
        <v>0.0503614780062512</v>
      </c>
    </row>
    <row r="4" customFormat="false" ht="12.8" hidden="false" customHeight="false" outlineLevel="0" collapsed="false">
      <c r="A4" s="6" t="s">
        <v>23</v>
      </c>
      <c r="B4" s="6" t="n">
        <v>1</v>
      </c>
      <c r="C4" s="6" t="n">
        <v>0.441378631784566</v>
      </c>
      <c r="D4" s="6" t="n">
        <v>11.8668822977777</v>
      </c>
      <c r="E4" s="6" t="n">
        <v>0.005</v>
      </c>
      <c r="F4" s="3" t="n">
        <v>0.458767398450536</v>
      </c>
    </row>
    <row r="6" customFormat="false" ht="12.8" hidden="false" customHeight="false" outlineLevel="0" collapsed="false">
      <c r="A6" s="1" t="s">
        <v>325</v>
      </c>
    </row>
    <row r="7" customFormat="false" ht="12.8" hidden="false" customHeight="false" outlineLevel="0" collapsed="false">
      <c r="A7" s="6" t="s">
        <v>173</v>
      </c>
      <c r="B7" s="6" t="s">
        <v>174</v>
      </c>
      <c r="C7" s="6" t="s">
        <v>175</v>
      </c>
      <c r="D7" s="6" t="s">
        <v>177</v>
      </c>
      <c r="E7" s="6" t="s">
        <v>178</v>
      </c>
      <c r="F7" s="6" t="s">
        <v>10</v>
      </c>
    </row>
    <row r="8" customFormat="false" ht="12.8" hidden="false" customHeight="false" outlineLevel="0" collapsed="false">
      <c r="A8" s="6" t="s">
        <v>52</v>
      </c>
      <c r="B8" s="6" t="n">
        <v>1</v>
      </c>
      <c r="C8" s="6" t="n">
        <v>0.0323683047339711</v>
      </c>
      <c r="D8" s="6" t="n">
        <v>0.612745551913795</v>
      </c>
      <c r="E8" s="6" t="n">
        <v>0.005</v>
      </c>
      <c r="F8" s="6" t="n">
        <v>0.0419322672619551</v>
      </c>
    </row>
    <row r="9" customFormat="false" ht="12.8" hidden="false" customHeight="false" outlineLevel="0" collapsed="false">
      <c r="A9" s="6" t="s">
        <v>23</v>
      </c>
      <c r="B9" s="6" t="n">
        <v>1</v>
      </c>
      <c r="C9" s="6" t="n">
        <v>0.527130775266577</v>
      </c>
      <c r="D9" s="6" t="n">
        <v>30.1478446889113</v>
      </c>
      <c r="E9" s="6" t="n">
        <v>0.005</v>
      </c>
      <c r="F9" s="6" t="n">
        <v>0.682883726291707</v>
      </c>
    </row>
    <row r="11" customFormat="false" ht="12.8" hidden="false" customHeight="false" outlineLevel="0" collapsed="false">
      <c r="A11" s="6" t="s">
        <v>326</v>
      </c>
    </row>
    <row r="12" customFormat="false" ht="12.8" hidden="false" customHeight="false" outlineLevel="0" collapsed="false">
      <c r="A12" s="6" t="s">
        <v>173</v>
      </c>
      <c r="B12" s="6" t="s">
        <v>174</v>
      </c>
      <c r="C12" s="6" t="s">
        <v>327</v>
      </c>
      <c r="D12" s="6" t="s">
        <v>177</v>
      </c>
      <c r="E12" s="6" t="s">
        <v>178</v>
      </c>
      <c r="F12" s="6" t="s">
        <v>10</v>
      </c>
    </row>
    <row r="13" customFormat="false" ht="12.8" hidden="false" customHeight="false" outlineLevel="0" collapsed="false">
      <c r="A13" s="6" t="s">
        <v>52</v>
      </c>
      <c r="B13" s="6" t="n">
        <v>1</v>
      </c>
      <c r="C13" s="6" t="n">
        <v>12.7117686197841</v>
      </c>
      <c r="D13" s="6" t="n">
        <v>0.986462345614966</v>
      </c>
      <c r="E13" s="6" t="n">
        <v>0.075</v>
      </c>
      <c r="F13" s="6" t="n">
        <v>0.0658235628172518</v>
      </c>
    </row>
    <row r="14" customFormat="false" ht="12.8" hidden="false" customHeight="false" outlineLevel="0" collapsed="false">
      <c r="A14" s="6" t="s">
        <v>23</v>
      </c>
      <c r="B14" s="6" t="n">
        <v>1</v>
      </c>
      <c r="C14" s="6" t="n">
        <v>41.3691575014349</v>
      </c>
      <c r="D14" s="6" t="n">
        <v>3.81660298113778</v>
      </c>
      <c r="E14" s="6" t="n">
        <v>0.005</v>
      </c>
      <c r="F14" s="6" t="n">
        <v>0.214216087386488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13</v>
      </c>
      <c r="B1" s="0" t="s">
        <v>16</v>
      </c>
      <c r="C1" s="0" t="s">
        <v>17</v>
      </c>
      <c r="D1" s="0" t="s">
        <v>20</v>
      </c>
      <c r="E1" s="0" t="s">
        <v>21</v>
      </c>
      <c r="F1" s="0" t="s">
        <v>328</v>
      </c>
    </row>
    <row r="2" customFormat="false" ht="12.8" hidden="false" customHeight="false" outlineLevel="0" collapsed="false">
      <c r="A2" s="0" t="s">
        <v>29</v>
      </c>
      <c r="B2" s="0" t="n">
        <v>3.81148972130375</v>
      </c>
      <c r="C2" s="0" t="n">
        <v>0.368110656289552</v>
      </c>
      <c r="D2" s="7" t="n">
        <v>1.19966144957483E-007</v>
      </c>
      <c r="E2" s="7" t="n">
        <v>1.1893786371499E-005</v>
      </c>
      <c r="F2" s="0" t="s">
        <v>329</v>
      </c>
    </row>
    <row r="3" customFormat="false" ht="12.8" hidden="false" customHeight="false" outlineLevel="0" collapsed="false">
      <c r="A3" s="0" t="s">
        <v>25</v>
      </c>
      <c r="B3" s="0" t="n">
        <v>-3.39149279705819</v>
      </c>
      <c r="C3" s="0" t="n">
        <v>0.229769364882277</v>
      </c>
      <c r="D3" s="7" t="n">
        <v>1.68360045972696E-009</v>
      </c>
      <c r="E3" s="7" t="n">
        <v>3.89472906350169E-007</v>
      </c>
      <c r="F3" s="0" t="s">
        <v>330</v>
      </c>
    </row>
    <row r="4" customFormat="false" ht="12.8" hidden="false" customHeight="false" outlineLevel="0" collapsed="false">
      <c r="A4" s="0" t="s">
        <v>31</v>
      </c>
      <c r="B4" s="0" t="n">
        <v>3.31815183132703</v>
      </c>
      <c r="C4" s="0" t="n">
        <v>0.362898101901437</v>
      </c>
      <c r="D4" s="7" t="n">
        <v>5.03256238863041E-007</v>
      </c>
      <c r="E4" s="7" t="n">
        <v>3.88066477523278E-005</v>
      </c>
      <c r="F4" s="0" t="s">
        <v>329</v>
      </c>
    </row>
    <row r="5" customFormat="false" ht="12.8" hidden="false" customHeight="false" outlineLevel="0" collapsed="false">
      <c r="A5" s="0" t="s">
        <v>32</v>
      </c>
      <c r="B5" s="0" t="n">
        <v>-3.23165310923982</v>
      </c>
      <c r="C5" s="0" t="n">
        <v>0.358081616134054</v>
      </c>
      <c r="D5" s="7" t="n">
        <v>5.83595233433058E-007</v>
      </c>
      <c r="E5" s="7" t="n">
        <v>4.05015092002542E-005</v>
      </c>
      <c r="F5" s="0" t="s">
        <v>330</v>
      </c>
    </row>
    <row r="6" customFormat="false" ht="12.8" hidden="false" customHeight="false" outlineLevel="0" collapsed="false">
      <c r="A6" s="0" t="s">
        <v>26</v>
      </c>
      <c r="B6" s="0" t="n">
        <v>-3.19580343854298</v>
      </c>
      <c r="C6" s="0" t="n">
        <v>0.259171310279819</v>
      </c>
      <c r="D6" s="7" t="n">
        <v>1.50704184527379E-008</v>
      </c>
      <c r="E6" s="7" t="n">
        <v>2.61471760155002E-006</v>
      </c>
      <c r="F6" s="0" t="s">
        <v>330</v>
      </c>
    </row>
    <row r="7" customFormat="false" ht="12.8" hidden="false" customHeight="false" outlineLevel="0" collapsed="false">
      <c r="A7" s="0" t="s">
        <v>36</v>
      </c>
      <c r="B7" s="0" t="n">
        <v>-3.0323154717027</v>
      </c>
      <c r="C7" s="0" t="n">
        <v>0.492245732122077</v>
      </c>
      <c r="D7" s="7" t="n">
        <v>3.43122543349245E-005</v>
      </c>
      <c r="E7" s="0" t="n">
        <v>0.0017009074648884</v>
      </c>
      <c r="F7" s="0" t="s">
        <v>330</v>
      </c>
    </row>
    <row r="8" customFormat="false" ht="12.8" hidden="false" customHeight="false" outlineLevel="0" collapsed="false">
      <c r="A8" s="0" t="s">
        <v>34</v>
      </c>
      <c r="B8" s="0" t="n">
        <v>-2.57599012180562</v>
      </c>
      <c r="C8" s="0" t="n">
        <v>0.328749338087185</v>
      </c>
      <c r="D8" s="7" t="n">
        <v>2.80436277024324E-006</v>
      </c>
      <c r="E8" s="7" t="n">
        <v>0.00016218564687906</v>
      </c>
      <c r="F8" s="0" t="s">
        <v>330</v>
      </c>
    </row>
    <row r="9" customFormat="false" ht="12.8" hidden="false" customHeight="false" outlineLevel="0" collapsed="false">
      <c r="A9" s="0" t="s">
        <v>35</v>
      </c>
      <c r="B9" s="0" t="n">
        <v>-2.51953877383423</v>
      </c>
      <c r="C9" s="0" t="n">
        <v>0.36215788996766</v>
      </c>
      <c r="D9" s="7" t="n">
        <v>9.96146072419514E-006</v>
      </c>
      <c r="E9" s="7" t="n">
        <v>0.00053178874943011</v>
      </c>
      <c r="F9" s="0" t="s">
        <v>330</v>
      </c>
    </row>
    <row r="10" customFormat="false" ht="12.8" hidden="false" customHeight="false" outlineLevel="0" collapsed="false">
      <c r="A10" s="0" t="s">
        <v>33</v>
      </c>
      <c r="B10" s="0" t="n">
        <v>2.42946874757561</v>
      </c>
      <c r="C10" s="0" t="n">
        <v>0.284012489662603</v>
      </c>
      <c r="D10" s="7" t="n">
        <v>1.06623421356753E-006</v>
      </c>
      <c r="E10" s="7" t="n">
        <v>6.72696858378063E-005</v>
      </c>
      <c r="F10" s="0" t="s">
        <v>329</v>
      </c>
    </row>
    <row r="11" customFormat="false" ht="12.8" hidden="false" customHeight="false" outlineLevel="0" collapsed="false">
      <c r="A11" s="0" t="s">
        <v>37</v>
      </c>
      <c r="B11" s="0" t="n">
        <v>-2.41745356288511</v>
      </c>
      <c r="C11" s="0" t="n">
        <v>0.399836526035275</v>
      </c>
      <c r="D11" s="7" t="n">
        <v>4.12497516120456E-005</v>
      </c>
      <c r="E11" s="0" t="n">
        <v>0.00190848850791731</v>
      </c>
      <c r="F11" s="0" t="s">
        <v>330</v>
      </c>
    </row>
    <row r="12" customFormat="false" ht="12.8" hidden="false" customHeight="false" outlineLevel="0" collapsed="false">
      <c r="A12" s="0" t="s">
        <v>46</v>
      </c>
      <c r="B12" s="0" t="n">
        <v>2.39789340597254</v>
      </c>
      <c r="C12" s="0" t="n">
        <v>0.554667475288224</v>
      </c>
      <c r="D12" s="7" t="n">
        <v>0.00082709791841563</v>
      </c>
      <c r="E12" s="0" t="n">
        <v>0.0239169148075186</v>
      </c>
      <c r="F12" s="0" t="s">
        <v>329</v>
      </c>
    </row>
    <row r="13" customFormat="false" ht="12.8" hidden="false" customHeight="false" outlineLevel="0" collapsed="false">
      <c r="A13" s="0" t="s">
        <v>42</v>
      </c>
      <c r="B13" s="0" t="n">
        <v>2.3219097547748</v>
      </c>
      <c r="C13" s="0" t="n">
        <v>0.455300453731415</v>
      </c>
      <c r="D13" s="7" t="n">
        <v>0.00020383911999802</v>
      </c>
      <c r="E13" s="0" t="n">
        <v>0.00707321746393155</v>
      </c>
      <c r="F13" s="0" t="s">
        <v>329</v>
      </c>
    </row>
    <row r="14" customFormat="false" ht="12.8" hidden="false" customHeight="false" outlineLevel="0" collapsed="false">
      <c r="A14" s="0" t="s">
        <v>39</v>
      </c>
      <c r="B14" s="0" t="n">
        <v>2.24473644610638</v>
      </c>
      <c r="C14" s="0" t="n">
        <v>0.410837990224907</v>
      </c>
      <c r="D14" s="7" t="n">
        <v>0.00010863507948459</v>
      </c>
      <c r="E14" s="0" t="n">
        <v>0.00443486736248887</v>
      </c>
      <c r="F14" s="0" t="s">
        <v>329</v>
      </c>
    </row>
    <row r="15" customFormat="false" ht="12.8" hidden="false" customHeight="false" outlineLevel="0" collapsed="false">
      <c r="A15" s="0" t="s">
        <v>45</v>
      </c>
      <c r="B15" s="0" t="n">
        <v>2.19418601391856</v>
      </c>
      <c r="C15" s="0" t="n">
        <v>0.503753385684628</v>
      </c>
      <c r="D15" s="7" t="n">
        <v>0.00077879060618256</v>
      </c>
      <c r="E15" s="0" t="n">
        <v>0.0238970126779331</v>
      </c>
      <c r="F15" s="0" t="s">
        <v>329</v>
      </c>
    </row>
    <row r="16" customFormat="false" ht="12.8" hidden="false" customHeight="false" outlineLevel="0" collapsed="false">
      <c r="A16" s="0" t="s">
        <v>30</v>
      </c>
      <c r="B16" s="0" t="n">
        <v>-2.12760594700637</v>
      </c>
      <c r="C16" s="0" t="n">
        <v>0.222488878043511</v>
      </c>
      <c r="D16" s="7" t="n">
        <v>3.01496379293157E-007</v>
      </c>
      <c r="E16" s="7" t="n">
        <v>2.61548109036814E-005</v>
      </c>
      <c r="F16" s="0" t="s">
        <v>330</v>
      </c>
    </row>
    <row r="17" customFormat="false" ht="12.8" hidden="false" customHeight="false" outlineLevel="0" collapsed="false">
      <c r="A17" s="0" t="s">
        <v>22</v>
      </c>
      <c r="B17" s="0" t="n">
        <v>2.03554842627889</v>
      </c>
      <c r="C17" s="0" t="n">
        <v>0.0484484464833779</v>
      </c>
      <c r="D17" s="7" t="n">
        <v>2.8425181253039E-015</v>
      </c>
      <c r="E17" s="7" t="n">
        <v>1.97270757896091E-012</v>
      </c>
      <c r="F17" s="0" t="s">
        <v>329</v>
      </c>
    </row>
    <row r="18" customFormat="false" ht="12.8" hidden="false" customHeight="false" outlineLevel="0" collapsed="false">
      <c r="A18" s="0" t="s">
        <v>38</v>
      </c>
      <c r="B18" s="0" t="n">
        <v>-2.02073689695941</v>
      </c>
      <c r="C18" s="0" t="n">
        <v>0.340396650164552</v>
      </c>
      <c r="D18" s="7" t="n">
        <v>4.93250495451147E-005</v>
      </c>
      <c r="E18" s="0" t="n">
        <v>0.00213947402401935</v>
      </c>
      <c r="F18" s="0" t="s">
        <v>330</v>
      </c>
    </row>
    <row r="19" customFormat="false" ht="12.8" hidden="false" customHeight="false" outlineLevel="0" collapsed="false">
      <c r="A19" s="0" t="s">
        <v>48</v>
      </c>
      <c r="B19" s="0" t="n">
        <v>-1.93618920251031</v>
      </c>
      <c r="C19" s="0" t="n">
        <v>0.490643490005679</v>
      </c>
      <c r="D19" s="0" t="n">
        <v>0.00167342443445489</v>
      </c>
      <c r="E19" s="0" t="n">
        <v>0.0446675599042958</v>
      </c>
      <c r="F19" s="0" t="s">
        <v>330</v>
      </c>
    </row>
    <row r="20" customFormat="false" ht="12.8" hidden="false" customHeight="false" outlineLevel="0" collapsed="false">
      <c r="A20" s="0" t="s">
        <v>43</v>
      </c>
      <c r="B20" s="0" t="n">
        <v>-1.80073789040321</v>
      </c>
      <c r="C20" s="0" t="n">
        <v>0.365280202410378</v>
      </c>
      <c r="D20" s="7" t="n">
        <v>0.00027515332955387</v>
      </c>
      <c r="E20" s="0" t="n">
        <v>0.00909316241478042</v>
      </c>
      <c r="F20" s="0" t="s">
        <v>330</v>
      </c>
    </row>
    <row r="21" customFormat="false" ht="12.8" hidden="false" customHeight="false" outlineLevel="0" collapsed="false">
      <c r="A21" s="0" t="s">
        <v>44</v>
      </c>
      <c r="B21" s="0" t="n">
        <v>-1.71967153863296</v>
      </c>
      <c r="C21" s="0" t="n">
        <v>0.395637269791286</v>
      </c>
      <c r="D21" s="7" t="n">
        <v>0.00079197592448481</v>
      </c>
      <c r="E21" s="0" t="n">
        <v>0.0238970126779331</v>
      </c>
      <c r="F21" s="0" t="s">
        <v>330</v>
      </c>
    </row>
    <row r="22" customFormat="false" ht="12.8" hidden="false" customHeight="false" outlineLevel="0" collapsed="false">
      <c r="A22" s="0" t="s">
        <v>47</v>
      </c>
      <c r="B22" s="0" t="n">
        <v>-1.71101019241411</v>
      </c>
      <c r="C22" s="0" t="n">
        <v>0.398285711611776</v>
      </c>
      <c r="D22" s="7" t="n">
        <v>0.00086979677647775</v>
      </c>
      <c r="E22" s="0" t="n">
        <v>0.0241455585150224</v>
      </c>
      <c r="F22" s="0" t="s">
        <v>330</v>
      </c>
    </row>
    <row r="23" customFormat="false" ht="12.8" hidden="false" customHeight="false" outlineLevel="0" collapsed="false">
      <c r="A23" s="0" t="s">
        <v>40</v>
      </c>
      <c r="B23" s="0" t="n">
        <v>-0.993687874926557</v>
      </c>
      <c r="C23" s="0" t="n">
        <v>0.185882084098689</v>
      </c>
      <c r="D23" s="7" t="n">
        <v>0.00013295112314791</v>
      </c>
      <c r="E23" s="0" t="n">
        <v>0.00512600441470282</v>
      </c>
      <c r="F23" s="0" t="s">
        <v>330</v>
      </c>
    </row>
    <row r="24" customFormat="false" ht="12.8" hidden="false" customHeight="false" outlineLevel="0" collapsed="false">
      <c r="A24" s="0" t="s">
        <v>41</v>
      </c>
      <c r="B24" s="0" t="n">
        <v>-0.987254843069378</v>
      </c>
      <c r="C24" s="0" t="n">
        <v>0.19247654304813</v>
      </c>
      <c r="D24" s="7" t="n">
        <v>0.00019357769675594</v>
      </c>
      <c r="E24" s="0" t="n">
        <v>0.00707068008150661</v>
      </c>
      <c r="F24" s="0" t="s">
        <v>330</v>
      </c>
    </row>
    <row r="25" customFormat="false" ht="12.8" hidden="false" customHeight="false" outlineLevel="0" collapsed="false">
      <c r="A25" s="0" t="s">
        <v>24</v>
      </c>
      <c r="B25" s="0" t="n">
        <v>0.921662350544331</v>
      </c>
      <c r="C25" s="0" t="n">
        <v>0.04966790469928</v>
      </c>
      <c r="D25" s="7" t="n">
        <v>9.75342765932603E-011</v>
      </c>
      <c r="E25" s="7" t="n">
        <v>3.38443939778613E-008</v>
      </c>
      <c r="F25" s="0" t="s">
        <v>329</v>
      </c>
    </row>
    <row r="26" customFormat="false" ht="12.8" hidden="false" customHeight="false" outlineLevel="0" collapsed="false">
      <c r="A26" s="0" t="s">
        <v>27</v>
      </c>
      <c r="B26" s="0" t="n">
        <v>-0.766436200678925</v>
      </c>
      <c r="C26" s="0" t="n">
        <v>0.073616086818163</v>
      </c>
      <c r="D26" s="7" t="n">
        <v>1.12498913563331E-007</v>
      </c>
      <c r="E26" s="7" t="n">
        <v>1.1893786371499E-005</v>
      </c>
      <c r="F26" s="0" t="s">
        <v>330</v>
      </c>
    </row>
    <row r="27" customFormat="false" ht="12.8" hidden="false" customHeight="false" outlineLevel="0" collapsed="false">
      <c r="A27" s="0" t="s">
        <v>28</v>
      </c>
      <c r="B27" s="0" t="n">
        <v>-0.639318485742424</v>
      </c>
      <c r="C27" s="0" t="n">
        <v>0.060556903589545</v>
      </c>
      <c r="D27" s="7" t="n">
        <v>9.55576688732331E-008</v>
      </c>
      <c r="E27" s="7" t="n">
        <v>1.1893786371499E-005</v>
      </c>
      <c r="F27" s="0" t="s">
        <v>330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2026-07-08T18:19:51Z</dcterms:created>
  <dc:creator>Linh Dang</dc:creator>
  <dc:description/>
  <dc:language>en-US</dc:language>
  <cp:lastModifiedBy>Linh Dang</cp:lastModifiedBy>
  <dcterms:modified xsi:type="dcterms:W3CDTF">2026-07-26T22:12:30Z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